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<sst xmlns="http://schemas.openxmlformats.org/spreadsheetml/2006/main" uniqueCount="63">
  <si>
    <t>AGUILAR, MARC A</t>
  </si>
  <si>
    <t>COSME, BRYCE D</t>
  </si>
  <si>
    <t>Doty, Mason</t>
  </si>
  <si>
    <t>Flores, Steven</t>
  </si>
  <si>
    <t>Gil, Jose L.</t>
  </si>
  <si>
    <t>Guzman, Gerardo L.</t>
  </si>
  <si>
    <t>Hernandez, Arturo</t>
  </si>
  <si>
    <t>Hyler III, Don</t>
  </si>
  <si>
    <t>Jenkins, Cathy J.</t>
  </si>
  <si>
    <t>Johnson, Jeannine R.</t>
  </si>
  <si>
    <t>Johnson, Russ D.</t>
  </si>
  <si>
    <t>Johnson, Seth</t>
  </si>
  <si>
    <t>Johnson, Trent H.</t>
  </si>
  <si>
    <t>Lugo, Hector</t>
  </si>
  <si>
    <t>Mayer, Kevin M.</t>
  </si>
  <si>
    <t>Mijalli, Athena</t>
  </si>
  <si>
    <t>Newton, Gary D.</t>
  </si>
  <si>
    <t>Ortuno-Garcia, Alejandro</t>
  </si>
  <si>
    <t>Roesler, Eric M.</t>
  </si>
  <si>
    <t>Williams, Darrin R.</t>
  </si>
  <si>
    <t>Wininger, Jeffrey S.</t>
  </si>
  <si>
    <t>TOTAL</t>
  </si>
  <si>
    <t>Hours</t>
  </si>
  <si>
    <t>Rate</t>
  </si>
  <si>
    <t>Week of Mar 8, 26</t>
  </si>
  <si>
    <t>Employee Wages, Taxes and Adjustments</t>
  </si>
  <si>
    <t>Gross Pay</t>
  </si>
  <si>
    <t>MANAGEMENT SALARY</t>
  </si>
  <si>
    <t>Management-Car Allowance</t>
  </si>
  <si>
    <t>Management-Monthly Commission</t>
  </si>
  <si>
    <t>Nor Cal/ER Paid Benefit 6%</t>
  </si>
  <si>
    <t>Per Diem</t>
  </si>
  <si>
    <t>TRUCK FUELING</t>
  </si>
  <si>
    <t>Total Gross Pay</t>
  </si>
  <si>
    <t>Deductions from Gross Pay</t>
  </si>
  <si>
    <t>Child Support (Art)</t>
  </si>
  <si>
    <t>Due From Officer</t>
  </si>
  <si>
    <t>Pre Tax Benefit Deduction</t>
  </si>
  <si>
    <t>Total Deductions from Gross Pay</t>
  </si>
  <si>
    <t>Adjusted Gross Pay</t>
  </si>
  <si>
    <t>Taxes Withheld</t>
  </si>
  <si>
    <t>Federal Withholding</t>
  </si>
  <si>
    <t>Medicare Employee</t>
  </si>
  <si>
    <t>Social Security Employee</t>
  </si>
  <si>
    <t>CA - Withholding</t>
  </si>
  <si>
    <t>CA - Disability Employee</t>
  </si>
  <si>
    <t>Medicare Employee Addl Tax</t>
  </si>
  <si>
    <t>Total Taxes Withheld</t>
  </si>
  <si>
    <t>Deductions from Net Pay</t>
  </si>
  <si>
    <t>Employee Advance (Lui)</t>
  </si>
  <si>
    <t>Total Deductions from Net Pay</t>
  </si>
  <si>
    <t>Additions to Net Pay</t>
  </si>
  <si>
    <t>Cell Phone Reimbursement</t>
  </si>
  <si>
    <t>Total Additions to Net Pay</t>
  </si>
  <si>
    <t>Net Pay</t>
  </si>
  <si>
    <t>Employer Taxes and Contributions</t>
  </si>
  <si>
    <t>Federal Unemployment</t>
  </si>
  <si>
    <t>Medicare Company</t>
  </si>
  <si>
    <t>Social Security Company</t>
  </si>
  <si>
    <t>CA - Unemployment Company</t>
  </si>
  <si>
    <t>Workers Compensation</t>
  </si>
  <si>
    <t>CA - Employment Training Tax</t>
  </si>
  <si>
    <t>Total Employer Taxes and Contributions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</si>
</sst>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;&quot;-&quot;#,##0.00"/>
  </numFmts>
  <fonts count="6">
    <font>
      <sz val="11"/>
      <color indexed="8"/>
      <name val="Aptos Narrow"/>
    </font>
    <font>
      <b val="1"/>
      <sz val="10"/>
      <color indexed="8"/>
      <name val="Arial"/>
    </font>
    <font>
      <b val="1"/>
      <sz val="8"/>
      <color indexed="8"/>
      <name val="Arial"/>
    </font>
    <font>
      <sz val="15"/>
      <color indexed="8"/>
      <name val="Calibri"/>
    </font>
    <font>
      <b val="1"/>
      <sz val="8"/>
      <color indexed="11"/>
      <name val="Arial"/>
    </font>
    <font>
      <sz val="8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bottom"/>
    </xf>
    <xf numFmtId="49" fontId="0" fillId="2" borderId="2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49" fontId="4" fillId="2" borderId="3" applyNumberFormat="1" applyFont="1" applyFill="1" applyBorder="1" applyAlignment="1" applyProtection="0">
      <alignment horizontal="center" vertical="bottom"/>
    </xf>
    <xf numFmtId="49" fontId="0" fillId="2" borderId="4" applyNumberFormat="1" applyFont="1" applyFill="1" applyBorder="1" applyAlignment="1" applyProtection="0">
      <alignment vertical="bottom"/>
    </xf>
    <xf numFmtId="49" fontId="5" fillId="2" borderId="4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59" fontId="5" fillId="2" borderId="4" applyNumberFormat="1" applyFont="1" applyFill="1" applyBorder="1" applyAlignment="1" applyProtection="0">
      <alignment vertical="bottom"/>
    </xf>
    <xf numFmtId="59" fontId="5" fillId="2" borderId="1" applyNumberFormat="1" applyFont="1" applyFill="1" applyBorder="1" applyAlignment="1" applyProtection="0">
      <alignment vertical="bottom"/>
    </xf>
    <xf numFmtId="59" fontId="5" fillId="2" borderId="5" applyNumberFormat="1" applyFont="1" applyFill="1" applyBorder="1" applyAlignment="1" applyProtection="0">
      <alignment vertical="bottom"/>
    </xf>
    <xf numFmtId="59" fontId="5" fillId="2" borderId="6" applyNumberFormat="1" applyFont="1" applyFill="1" applyBorder="1" applyAlignment="1" applyProtection="0">
      <alignment vertical="bottom"/>
    </xf>
    <xf numFmtId="59" fontId="5" fillId="2" borderId="7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59" fontId="5" fillId="2" borderId="9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E40"/>
  <sheetViews>
    <sheetView workbookViewId="0" showGridLines="0" defaultGridColor="1"/>
  </sheetViews>
  <sheetFormatPr defaultColWidth="8.83333" defaultRowHeight="15" customHeight="1" outlineLevelRow="0" outlineLevelCol="0"/>
  <cols>
    <col min="1" max="3" width="3" style="1" customWidth="1"/>
    <col min="4" max="4" width="29.3516" style="1" customWidth="1"/>
    <col min="5" max="5" width="5.67188" style="1" customWidth="1"/>
    <col min="6" max="6" width="2.35156" style="1" customWidth="1"/>
    <col min="7" max="7" width="4.5" style="1" customWidth="1"/>
    <col min="8" max="8" width="2.35156" style="1" customWidth="1"/>
    <col min="9" max="9" width="14.8516" style="1" customWidth="1"/>
    <col min="10" max="10" width="2.35156" style="1" customWidth="1"/>
    <col min="11" max="11" width="5.67188" style="1" customWidth="1"/>
    <col min="12" max="12" width="2.35156" style="1" customWidth="1"/>
    <col min="13" max="13" width="4.5" style="1" customWidth="1"/>
    <col min="14" max="14" width="2.35156" style="1" customWidth="1"/>
    <col min="15" max="15" width="14.8516" style="1" customWidth="1"/>
    <col min="16" max="16" width="2.35156" style="1" customWidth="1"/>
    <col min="17" max="17" width="5.67188" style="1" customWidth="1"/>
    <col min="18" max="18" width="2.35156" style="1" customWidth="1"/>
    <col min="19" max="19" width="4.5" style="1" customWidth="1"/>
    <col min="20" max="20" width="2.35156" style="1" customWidth="1"/>
    <col min="21" max="21" width="14.8516" style="1" customWidth="1"/>
    <col min="22" max="22" width="2.35156" style="1" customWidth="1"/>
    <col min="23" max="23" width="5.67188" style="1" customWidth="1"/>
    <col min="24" max="24" width="2.35156" style="1" customWidth="1"/>
    <col min="25" max="25" width="4.5" style="1" customWidth="1"/>
    <col min="26" max="26" width="2.35156" style="1" customWidth="1"/>
    <col min="27" max="27" width="14.8516" style="1" customWidth="1"/>
    <col min="28" max="28" width="2.35156" style="1" customWidth="1"/>
    <col min="29" max="29" width="5.67188" style="1" customWidth="1"/>
    <col min="30" max="30" width="2.35156" style="1" customWidth="1"/>
    <col min="31" max="31" width="4.5" style="1" customWidth="1"/>
    <col min="32" max="32" width="2.35156" style="1" customWidth="1"/>
    <col min="33" max="33" width="14.8516" style="1" customWidth="1"/>
    <col min="34" max="34" width="2.35156" style="1" customWidth="1"/>
    <col min="35" max="35" width="5.67188" style="1" customWidth="1"/>
    <col min="36" max="36" width="2.35156" style="1" customWidth="1"/>
    <col min="37" max="37" width="4.5" style="1" customWidth="1"/>
    <col min="38" max="38" width="2.35156" style="1" customWidth="1"/>
    <col min="39" max="39" width="14.8516" style="1" customWidth="1"/>
    <col min="40" max="40" width="2.35156" style="1" customWidth="1"/>
    <col min="41" max="41" width="5.67188" style="1" customWidth="1"/>
    <col min="42" max="42" width="2.35156" style="1" customWidth="1"/>
    <col min="43" max="43" width="4.5" style="1" customWidth="1"/>
    <col min="44" max="44" width="2.35156" style="1" customWidth="1"/>
    <col min="45" max="45" width="14.8516" style="1" customWidth="1"/>
    <col min="46" max="46" width="2.35156" style="1" customWidth="1"/>
    <col min="47" max="47" width="5.67188" style="1" customWidth="1"/>
    <col min="48" max="48" width="2.35156" style="1" customWidth="1"/>
    <col min="49" max="49" width="4.5" style="1" customWidth="1"/>
    <col min="50" max="50" width="2.35156" style="1" customWidth="1"/>
    <col min="51" max="51" width="14.8516" style="1" customWidth="1"/>
    <col min="52" max="52" width="2.35156" style="1" customWidth="1"/>
    <col min="53" max="53" width="5.67188" style="1" customWidth="1"/>
    <col min="54" max="54" width="2.35156" style="1" customWidth="1"/>
    <col min="55" max="55" width="4.5" style="1" customWidth="1"/>
    <col min="56" max="56" width="2.35156" style="1" customWidth="1"/>
    <col min="57" max="57" width="14.8516" style="1" customWidth="1"/>
    <col min="58" max="58" width="2.35156" style="1" customWidth="1"/>
    <col min="59" max="59" width="5.67188" style="1" customWidth="1"/>
    <col min="60" max="60" width="2.35156" style="1" customWidth="1"/>
    <col min="61" max="61" width="4.5" style="1" customWidth="1"/>
    <col min="62" max="62" width="2.35156" style="1" customWidth="1"/>
    <col min="63" max="63" width="14.8516" style="1" customWidth="1"/>
    <col min="64" max="64" width="2.35156" style="1" customWidth="1"/>
    <col min="65" max="65" width="5.67188" style="1" customWidth="1"/>
    <col min="66" max="66" width="2.35156" style="1" customWidth="1"/>
    <col min="67" max="67" width="4.5" style="1" customWidth="1"/>
    <col min="68" max="68" width="2.35156" style="1" customWidth="1"/>
    <col min="69" max="69" width="14.8516" style="1" customWidth="1"/>
    <col min="70" max="70" width="2.35156" style="1" customWidth="1"/>
    <col min="71" max="71" width="5.67188" style="1" customWidth="1"/>
    <col min="72" max="72" width="2.35156" style="1" customWidth="1"/>
    <col min="73" max="73" width="4.5" style="1" customWidth="1"/>
    <col min="74" max="74" width="2.35156" style="1" customWidth="1"/>
    <col min="75" max="75" width="14.8516" style="1" customWidth="1"/>
    <col min="76" max="76" width="2.35156" style="1" customWidth="1"/>
    <col min="77" max="77" width="5.67188" style="1" customWidth="1"/>
    <col min="78" max="78" width="2.35156" style="1" customWidth="1"/>
    <col min="79" max="79" width="4.5" style="1" customWidth="1"/>
    <col min="80" max="80" width="2.35156" style="1" customWidth="1"/>
    <col min="81" max="81" width="14.8516" style="1" customWidth="1"/>
    <col min="82" max="82" width="2.35156" style="1" customWidth="1"/>
    <col min="83" max="83" width="5.67188" style="1" customWidth="1"/>
    <col min="84" max="84" width="2.35156" style="1" customWidth="1"/>
    <col min="85" max="85" width="4.5" style="1" customWidth="1"/>
    <col min="86" max="86" width="2.35156" style="1" customWidth="1"/>
    <col min="87" max="87" width="14.8516" style="1" customWidth="1"/>
    <col min="88" max="88" width="2.35156" style="1" customWidth="1"/>
    <col min="89" max="89" width="5.67188" style="1" customWidth="1"/>
    <col min="90" max="90" width="2.35156" style="1" customWidth="1"/>
    <col min="91" max="91" width="4.5" style="1" customWidth="1"/>
    <col min="92" max="92" width="2.35156" style="1" customWidth="1"/>
    <col min="93" max="93" width="14.8516" style="1" customWidth="1"/>
    <col min="94" max="94" width="2.35156" style="1" customWidth="1"/>
    <col min="95" max="95" width="5.67188" style="1" customWidth="1"/>
    <col min="96" max="96" width="2.35156" style="1" customWidth="1"/>
    <col min="97" max="97" width="4.5" style="1" customWidth="1"/>
    <col min="98" max="98" width="2.35156" style="1" customWidth="1"/>
    <col min="99" max="99" width="14.8516" style="1" customWidth="1"/>
    <col min="100" max="100" width="2.35156" style="1" customWidth="1"/>
    <col min="101" max="101" width="5.67188" style="1" customWidth="1"/>
    <col min="102" max="102" width="2.35156" style="1" customWidth="1"/>
    <col min="103" max="103" width="4.5" style="1" customWidth="1"/>
    <col min="104" max="104" width="2.35156" style="1" customWidth="1"/>
    <col min="105" max="105" width="14.8516" style="1" customWidth="1"/>
    <col min="106" max="106" width="2.35156" style="1" customWidth="1"/>
    <col min="107" max="107" width="5.67188" style="1" customWidth="1"/>
    <col min="108" max="108" width="2.35156" style="1" customWidth="1"/>
    <col min="109" max="109" width="4.5" style="1" customWidth="1"/>
    <col min="110" max="110" width="2.35156" style="1" customWidth="1"/>
    <col min="111" max="111" width="14.8516" style="1" customWidth="1"/>
    <col min="112" max="112" width="2.35156" style="1" customWidth="1"/>
    <col min="113" max="113" width="5.67188" style="1" customWidth="1"/>
    <col min="114" max="114" width="2.35156" style="1" customWidth="1"/>
    <col min="115" max="115" width="4.5" style="1" customWidth="1"/>
    <col min="116" max="116" width="2.35156" style="1" customWidth="1"/>
    <col min="117" max="117" width="14.8516" style="1" customWidth="1"/>
    <col min="118" max="118" width="2.35156" style="1" customWidth="1"/>
    <col min="119" max="119" width="5.67188" style="1" customWidth="1"/>
    <col min="120" max="120" width="2.35156" style="1" customWidth="1"/>
    <col min="121" max="121" width="4.5" style="1" customWidth="1"/>
    <col min="122" max="122" width="2.35156" style="1" customWidth="1"/>
    <col min="123" max="123" width="14.8516" style="1" customWidth="1"/>
    <col min="124" max="124" width="2.35156" style="1" customWidth="1"/>
    <col min="125" max="125" width="5.67188" style="1" customWidth="1"/>
    <col min="126" max="126" width="2.35156" style="1" customWidth="1"/>
    <col min="127" max="127" width="4.5" style="1" customWidth="1"/>
    <col min="128" max="128" width="2.35156" style="1" customWidth="1"/>
    <col min="129" max="129" width="14.8516" style="1" customWidth="1"/>
    <col min="130" max="130" width="2.35156" style="1" customWidth="1"/>
    <col min="131" max="131" width="5.67188" style="1" customWidth="1"/>
    <col min="132" max="132" width="2.35156" style="1" customWidth="1"/>
    <col min="133" max="133" width="4.5" style="1" customWidth="1"/>
    <col min="134" max="134" width="2.35156" style="1" customWidth="1"/>
    <col min="135" max="135" width="14.8516" style="1" customWidth="1"/>
    <col min="136" max="16384" width="8.85156" style="1" customWidth="1"/>
  </cols>
  <sheetData>
    <row r="1" ht="15.75" customHeight="1">
      <c r="A1" s="2"/>
      <c r="B1" s="2"/>
      <c r="C1" s="2"/>
      <c r="D1" s="2"/>
      <c r="E1" t="s" s="3">
        <v>0</v>
      </c>
      <c r="F1" s="4"/>
      <c r="G1" s="4"/>
      <c r="H1" s="4"/>
      <c r="I1" s="4"/>
      <c r="J1" s="2"/>
      <c r="K1" t="s" s="3">
        <v>1</v>
      </c>
      <c r="L1" s="4"/>
      <c r="M1" s="4"/>
      <c r="N1" s="4"/>
      <c r="O1" s="4"/>
      <c r="P1" s="2"/>
      <c r="Q1" t="s" s="3">
        <v>2</v>
      </c>
      <c r="R1" s="4"/>
      <c r="S1" s="4"/>
      <c r="T1" s="4"/>
      <c r="U1" s="4"/>
      <c r="V1" s="2"/>
      <c r="W1" t="s" s="3">
        <v>3</v>
      </c>
      <c r="X1" s="4"/>
      <c r="Y1" s="4"/>
      <c r="Z1" s="4"/>
      <c r="AA1" s="4"/>
      <c r="AB1" s="2"/>
      <c r="AC1" t="s" s="3">
        <v>4</v>
      </c>
      <c r="AD1" s="4"/>
      <c r="AE1" s="4"/>
      <c r="AF1" s="4"/>
      <c r="AG1" s="4"/>
      <c r="AH1" s="2"/>
      <c r="AI1" t="s" s="3">
        <v>5</v>
      </c>
      <c r="AJ1" s="4"/>
      <c r="AK1" s="4"/>
      <c r="AL1" s="4"/>
      <c r="AM1" s="4"/>
      <c r="AN1" s="2"/>
      <c r="AO1" t="s" s="3">
        <v>6</v>
      </c>
      <c r="AP1" s="4"/>
      <c r="AQ1" s="4"/>
      <c r="AR1" s="4"/>
      <c r="AS1" s="4"/>
      <c r="AT1" s="2"/>
      <c r="AU1" t="s" s="3">
        <v>7</v>
      </c>
      <c r="AV1" s="4"/>
      <c r="AW1" s="4"/>
      <c r="AX1" s="4"/>
      <c r="AY1" s="4"/>
      <c r="AZ1" s="2"/>
      <c r="BA1" t="s" s="3">
        <v>8</v>
      </c>
      <c r="BB1" s="4"/>
      <c r="BC1" s="4"/>
      <c r="BD1" s="4"/>
      <c r="BE1" s="4"/>
      <c r="BF1" s="2"/>
      <c r="BG1" t="s" s="3">
        <v>9</v>
      </c>
      <c r="BH1" s="4"/>
      <c r="BI1" s="4"/>
      <c r="BJ1" s="4"/>
      <c r="BK1" s="4"/>
      <c r="BL1" s="2"/>
      <c r="BM1" t="s" s="3">
        <v>10</v>
      </c>
      <c r="BN1" s="4"/>
      <c r="BO1" s="4"/>
      <c r="BP1" s="4"/>
      <c r="BQ1" s="4"/>
      <c r="BR1" s="2"/>
      <c r="BS1" t="s" s="3">
        <v>11</v>
      </c>
      <c r="BT1" s="4"/>
      <c r="BU1" s="4"/>
      <c r="BV1" s="4"/>
      <c r="BW1" s="4"/>
      <c r="BX1" s="2"/>
      <c r="BY1" t="s" s="3">
        <v>12</v>
      </c>
      <c r="BZ1" s="4"/>
      <c r="CA1" s="4"/>
      <c r="CB1" s="4"/>
      <c r="CC1" s="4"/>
      <c r="CD1" s="2"/>
      <c r="CE1" t="s" s="3">
        <v>13</v>
      </c>
      <c r="CF1" s="4"/>
      <c r="CG1" s="4"/>
      <c r="CH1" s="4"/>
      <c r="CI1" s="4"/>
      <c r="CJ1" s="2"/>
      <c r="CK1" t="s" s="3">
        <v>14</v>
      </c>
      <c r="CL1" s="4"/>
      <c r="CM1" s="4"/>
      <c r="CN1" s="4"/>
      <c r="CO1" s="4"/>
      <c r="CP1" s="2"/>
      <c r="CQ1" t="s" s="3">
        <v>15</v>
      </c>
      <c r="CR1" s="4"/>
      <c r="CS1" s="4"/>
      <c r="CT1" s="4"/>
      <c r="CU1" s="4"/>
      <c r="CV1" s="2"/>
      <c r="CW1" t="s" s="3">
        <v>16</v>
      </c>
      <c r="CX1" s="4"/>
      <c r="CY1" s="4"/>
      <c r="CZ1" s="4"/>
      <c r="DA1" s="4"/>
      <c r="DB1" s="2"/>
      <c r="DC1" t="s" s="3">
        <v>17</v>
      </c>
      <c r="DD1" s="4"/>
      <c r="DE1" s="4"/>
      <c r="DF1" s="4"/>
      <c r="DG1" s="4"/>
      <c r="DH1" s="2"/>
      <c r="DI1" t="s" s="3">
        <v>18</v>
      </c>
      <c r="DJ1" s="4"/>
      <c r="DK1" s="4"/>
      <c r="DL1" s="4"/>
      <c r="DM1" s="4"/>
      <c r="DN1" s="2"/>
      <c r="DO1" t="s" s="3">
        <v>19</v>
      </c>
      <c r="DP1" s="4"/>
      <c r="DQ1" s="4"/>
      <c r="DR1" s="4"/>
      <c r="DS1" s="4"/>
      <c r="DT1" s="2"/>
      <c r="DU1" t="s" s="3">
        <v>20</v>
      </c>
      <c r="DV1" s="4"/>
      <c r="DW1" s="4"/>
      <c r="DX1" s="4"/>
      <c r="DY1" s="4"/>
      <c r="DZ1" s="2"/>
      <c r="EA1" t="s" s="3">
        <v>21</v>
      </c>
      <c r="EB1" s="4"/>
      <c r="EC1" s="4"/>
      <c r="ED1" s="4"/>
      <c r="EE1" s="4"/>
    </row>
    <row r="2" ht="16.5" customHeight="1">
      <c r="A2" s="5"/>
      <c r="B2" s="5"/>
      <c r="C2" s="5"/>
      <c r="D2" s="5"/>
      <c r="E2" t="s" s="6">
        <v>22</v>
      </c>
      <c r="F2" s="7"/>
      <c r="G2" t="s" s="6">
        <v>23</v>
      </c>
      <c r="H2" s="7"/>
      <c r="I2" t="s" s="6">
        <v>24</v>
      </c>
      <c r="J2" s="2"/>
      <c r="K2" t="s" s="6">
        <v>22</v>
      </c>
      <c r="L2" s="7"/>
      <c r="M2" t="s" s="6">
        <v>23</v>
      </c>
      <c r="N2" s="7"/>
      <c r="O2" t="s" s="6">
        <v>24</v>
      </c>
      <c r="P2" s="2"/>
      <c r="Q2" t="s" s="6">
        <v>22</v>
      </c>
      <c r="R2" s="7"/>
      <c r="S2" t="s" s="6">
        <v>23</v>
      </c>
      <c r="T2" s="7"/>
      <c r="U2" t="s" s="6">
        <v>24</v>
      </c>
      <c r="V2" s="2"/>
      <c r="W2" t="s" s="6">
        <v>22</v>
      </c>
      <c r="X2" s="7"/>
      <c r="Y2" t="s" s="6">
        <v>23</v>
      </c>
      <c r="Z2" s="7"/>
      <c r="AA2" t="s" s="6">
        <v>24</v>
      </c>
      <c r="AB2" s="2"/>
      <c r="AC2" t="s" s="6">
        <v>22</v>
      </c>
      <c r="AD2" s="7"/>
      <c r="AE2" t="s" s="6">
        <v>23</v>
      </c>
      <c r="AF2" s="7"/>
      <c r="AG2" t="s" s="6">
        <v>24</v>
      </c>
      <c r="AH2" s="2"/>
      <c r="AI2" t="s" s="6">
        <v>22</v>
      </c>
      <c r="AJ2" s="7"/>
      <c r="AK2" t="s" s="6">
        <v>23</v>
      </c>
      <c r="AL2" s="7"/>
      <c r="AM2" t="s" s="6">
        <v>24</v>
      </c>
      <c r="AN2" s="2"/>
      <c r="AO2" t="s" s="6">
        <v>22</v>
      </c>
      <c r="AP2" s="7"/>
      <c r="AQ2" t="s" s="6">
        <v>23</v>
      </c>
      <c r="AR2" s="7"/>
      <c r="AS2" t="s" s="6">
        <v>24</v>
      </c>
      <c r="AT2" s="2"/>
      <c r="AU2" t="s" s="6">
        <v>22</v>
      </c>
      <c r="AV2" s="7"/>
      <c r="AW2" t="s" s="6">
        <v>23</v>
      </c>
      <c r="AX2" s="7"/>
      <c r="AY2" t="s" s="6">
        <v>24</v>
      </c>
      <c r="AZ2" s="2"/>
      <c r="BA2" t="s" s="6">
        <v>22</v>
      </c>
      <c r="BB2" s="7"/>
      <c r="BC2" t="s" s="6">
        <v>23</v>
      </c>
      <c r="BD2" s="7"/>
      <c r="BE2" t="s" s="6">
        <v>24</v>
      </c>
      <c r="BF2" s="2"/>
      <c r="BG2" t="s" s="6">
        <v>22</v>
      </c>
      <c r="BH2" s="7"/>
      <c r="BI2" t="s" s="6">
        <v>23</v>
      </c>
      <c r="BJ2" s="7"/>
      <c r="BK2" t="s" s="6">
        <v>24</v>
      </c>
      <c r="BL2" s="2"/>
      <c r="BM2" t="s" s="6">
        <v>22</v>
      </c>
      <c r="BN2" s="7"/>
      <c r="BO2" t="s" s="6">
        <v>23</v>
      </c>
      <c r="BP2" s="7"/>
      <c r="BQ2" t="s" s="6">
        <v>24</v>
      </c>
      <c r="BR2" s="2"/>
      <c r="BS2" t="s" s="6">
        <v>22</v>
      </c>
      <c r="BT2" s="7"/>
      <c r="BU2" t="s" s="6">
        <v>23</v>
      </c>
      <c r="BV2" s="7"/>
      <c r="BW2" t="s" s="6">
        <v>24</v>
      </c>
      <c r="BX2" s="2"/>
      <c r="BY2" t="s" s="6">
        <v>22</v>
      </c>
      <c r="BZ2" s="7"/>
      <c r="CA2" t="s" s="6">
        <v>23</v>
      </c>
      <c r="CB2" s="7"/>
      <c r="CC2" t="s" s="6">
        <v>24</v>
      </c>
      <c r="CD2" s="2"/>
      <c r="CE2" t="s" s="6">
        <v>22</v>
      </c>
      <c r="CF2" s="7"/>
      <c r="CG2" t="s" s="6">
        <v>23</v>
      </c>
      <c r="CH2" s="7"/>
      <c r="CI2" t="s" s="6">
        <v>24</v>
      </c>
      <c r="CJ2" s="2"/>
      <c r="CK2" t="s" s="6">
        <v>22</v>
      </c>
      <c r="CL2" s="7"/>
      <c r="CM2" t="s" s="6">
        <v>23</v>
      </c>
      <c r="CN2" s="7"/>
      <c r="CO2" t="s" s="6">
        <v>24</v>
      </c>
      <c r="CP2" s="2"/>
      <c r="CQ2" t="s" s="6">
        <v>22</v>
      </c>
      <c r="CR2" s="7"/>
      <c r="CS2" t="s" s="6">
        <v>23</v>
      </c>
      <c r="CT2" s="7"/>
      <c r="CU2" t="s" s="6">
        <v>24</v>
      </c>
      <c r="CV2" s="2"/>
      <c r="CW2" t="s" s="6">
        <v>22</v>
      </c>
      <c r="CX2" s="7"/>
      <c r="CY2" t="s" s="6">
        <v>23</v>
      </c>
      <c r="CZ2" s="7"/>
      <c r="DA2" t="s" s="6">
        <v>24</v>
      </c>
      <c r="DB2" s="2"/>
      <c r="DC2" t="s" s="6">
        <v>22</v>
      </c>
      <c r="DD2" s="7"/>
      <c r="DE2" t="s" s="6">
        <v>23</v>
      </c>
      <c r="DF2" s="7"/>
      <c r="DG2" t="s" s="6">
        <v>24</v>
      </c>
      <c r="DH2" s="2"/>
      <c r="DI2" t="s" s="6">
        <v>22</v>
      </c>
      <c r="DJ2" s="7"/>
      <c r="DK2" t="s" s="6">
        <v>23</v>
      </c>
      <c r="DL2" s="7"/>
      <c r="DM2" t="s" s="6">
        <v>24</v>
      </c>
      <c r="DN2" s="2"/>
      <c r="DO2" t="s" s="6">
        <v>22</v>
      </c>
      <c r="DP2" s="7"/>
      <c r="DQ2" t="s" s="6">
        <v>23</v>
      </c>
      <c r="DR2" s="7"/>
      <c r="DS2" t="s" s="6">
        <v>24</v>
      </c>
      <c r="DT2" s="2"/>
      <c r="DU2" t="s" s="6">
        <v>22</v>
      </c>
      <c r="DV2" s="7"/>
      <c r="DW2" t="s" s="6">
        <v>23</v>
      </c>
      <c r="DX2" s="7"/>
      <c r="DY2" t="s" s="6">
        <v>24</v>
      </c>
      <c r="DZ2" s="2"/>
      <c r="EA2" t="s" s="6">
        <v>22</v>
      </c>
      <c r="EB2" s="7"/>
      <c r="EC2" t="s" s="6">
        <v>23</v>
      </c>
      <c r="ED2" s="7"/>
      <c r="EE2" t="s" s="6">
        <v>24</v>
      </c>
    </row>
    <row r="3" ht="15.75" customHeight="1">
      <c r="A3" t="s" s="2">
        <v>25</v>
      </c>
      <c r="B3" s="2"/>
      <c r="C3" s="2"/>
      <c r="D3" s="2"/>
      <c r="E3" s="8"/>
      <c r="F3" s="9"/>
      <c r="G3" s="8"/>
      <c r="H3" s="9"/>
      <c r="I3" s="10"/>
      <c r="J3" s="9"/>
      <c r="K3" s="8"/>
      <c r="L3" s="9"/>
      <c r="M3" s="8"/>
      <c r="N3" s="9"/>
      <c r="O3" s="10"/>
      <c r="P3" s="9"/>
      <c r="Q3" s="8"/>
      <c r="R3" s="9"/>
      <c r="S3" s="8"/>
      <c r="T3" s="9"/>
      <c r="U3" s="10"/>
      <c r="V3" s="9"/>
      <c r="W3" s="8"/>
      <c r="X3" s="9"/>
      <c r="Y3" s="8"/>
      <c r="Z3" s="9"/>
      <c r="AA3" s="10"/>
      <c r="AB3" s="9"/>
      <c r="AC3" s="8"/>
      <c r="AD3" s="9"/>
      <c r="AE3" s="8"/>
      <c r="AF3" s="9"/>
      <c r="AG3" s="10"/>
      <c r="AH3" s="9"/>
      <c r="AI3" s="8"/>
      <c r="AJ3" s="9"/>
      <c r="AK3" s="8"/>
      <c r="AL3" s="9"/>
      <c r="AM3" s="10"/>
      <c r="AN3" s="9"/>
      <c r="AO3" s="8"/>
      <c r="AP3" s="9"/>
      <c r="AQ3" s="8"/>
      <c r="AR3" s="9"/>
      <c r="AS3" s="10"/>
      <c r="AT3" s="9"/>
      <c r="AU3" s="8"/>
      <c r="AV3" s="9"/>
      <c r="AW3" s="8"/>
      <c r="AX3" s="9"/>
      <c r="AY3" s="10"/>
      <c r="AZ3" s="9"/>
      <c r="BA3" s="8"/>
      <c r="BB3" s="9"/>
      <c r="BC3" s="8"/>
      <c r="BD3" s="9"/>
      <c r="BE3" s="10"/>
      <c r="BF3" s="9"/>
      <c r="BG3" s="8"/>
      <c r="BH3" s="9"/>
      <c r="BI3" s="8"/>
      <c r="BJ3" s="9"/>
      <c r="BK3" s="10"/>
      <c r="BL3" s="9"/>
      <c r="BM3" s="8"/>
      <c r="BN3" s="9"/>
      <c r="BO3" s="8"/>
      <c r="BP3" s="9"/>
      <c r="BQ3" s="10"/>
      <c r="BR3" s="9"/>
      <c r="BS3" s="8"/>
      <c r="BT3" s="9"/>
      <c r="BU3" s="8"/>
      <c r="BV3" s="9"/>
      <c r="BW3" s="10"/>
      <c r="BX3" s="9"/>
      <c r="BY3" s="8"/>
      <c r="BZ3" s="9"/>
      <c r="CA3" s="8"/>
      <c r="CB3" s="9"/>
      <c r="CC3" s="10"/>
      <c r="CD3" s="9"/>
      <c r="CE3" s="8"/>
      <c r="CF3" s="9"/>
      <c r="CG3" s="8"/>
      <c r="CH3" s="9"/>
      <c r="CI3" s="10"/>
      <c r="CJ3" s="9"/>
      <c r="CK3" s="8"/>
      <c r="CL3" s="9"/>
      <c r="CM3" s="8"/>
      <c r="CN3" s="9"/>
      <c r="CO3" s="10"/>
      <c r="CP3" s="9"/>
      <c r="CQ3" s="8"/>
      <c r="CR3" s="9"/>
      <c r="CS3" s="8"/>
      <c r="CT3" s="9"/>
      <c r="CU3" s="10"/>
      <c r="CV3" s="9"/>
      <c r="CW3" s="8"/>
      <c r="CX3" s="9"/>
      <c r="CY3" s="8"/>
      <c r="CZ3" s="9"/>
      <c r="DA3" s="10"/>
      <c r="DB3" s="9"/>
      <c r="DC3" s="8"/>
      <c r="DD3" s="9"/>
      <c r="DE3" s="8"/>
      <c r="DF3" s="9"/>
      <c r="DG3" s="10"/>
      <c r="DH3" s="9"/>
      <c r="DI3" s="8"/>
      <c r="DJ3" s="9"/>
      <c r="DK3" s="8"/>
      <c r="DL3" s="9"/>
      <c r="DM3" s="10"/>
      <c r="DN3" s="9"/>
      <c r="DO3" s="8"/>
      <c r="DP3" s="9"/>
      <c r="DQ3" s="8"/>
      <c r="DR3" s="9"/>
      <c r="DS3" s="10"/>
      <c r="DT3" s="9"/>
      <c r="DU3" s="8"/>
      <c r="DV3" s="9"/>
      <c r="DW3" s="8"/>
      <c r="DX3" s="9"/>
      <c r="DY3" s="10"/>
      <c r="DZ3" s="9"/>
      <c r="EA3" s="8"/>
      <c r="EB3" s="9"/>
      <c r="EC3" s="8"/>
      <c r="ED3" s="9"/>
      <c r="EE3" s="10"/>
    </row>
    <row r="4" ht="15" customHeight="1">
      <c r="A4" s="2"/>
      <c r="B4" s="2"/>
      <c r="C4" t="s" s="2">
        <v>26</v>
      </c>
      <c r="D4" s="2"/>
      <c r="E4" s="9"/>
      <c r="F4" s="9"/>
      <c r="G4" s="9"/>
      <c r="H4" s="9"/>
      <c r="I4" s="11"/>
      <c r="J4" s="9"/>
      <c r="K4" s="9"/>
      <c r="L4" s="9"/>
      <c r="M4" s="9"/>
      <c r="N4" s="9"/>
      <c r="O4" s="11"/>
      <c r="P4" s="9"/>
      <c r="Q4" s="9"/>
      <c r="R4" s="9"/>
      <c r="S4" s="9"/>
      <c r="T4" s="9"/>
      <c r="U4" s="11"/>
      <c r="V4" s="9"/>
      <c r="W4" s="9"/>
      <c r="X4" s="9"/>
      <c r="Y4" s="9"/>
      <c r="Z4" s="9"/>
      <c r="AA4" s="11"/>
      <c r="AB4" s="9"/>
      <c r="AC4" s="9"/>
      <c r="AD4" s="9"/>
      <c r="AE4" s="9"/>
      <c r="AF4" s="9"/>
      <c r="AG4" s="11"/>
      <c r="AH4" s="9"/>
      <c r="AI4" s="9"/>
      <c r="AJ4" s="9"/>
      <c r="AK4" s="9"/>
      <c r="AL4" s="9"/>
      <c r="AM4" s="11"/>
      <c r="AN4" s="9"/>
      <c r="AO4" s="9"/>
      <c r="AP4" s="9"/>
      <c r="AQ4" s="9"/>
      <c r="AR4" s="9"/>
      <c r="AS4" s="11"/>
      <c r="AT4" s="9"/>
      <c r="AU4" s="9"/>
      <c r="AV4" s="9"/>
      <c r="AW4" s="9"/>
      <c r="AX4" s="9"/>
      <c r="AY4" s="11"/>
      <c r="AZ4" s="9"/>
      <c r="BA4" s="9"/>
      <c r="BB4" s="9"/>
      <c r="BC4" s="9"/>
      <c r="BD4" s="9"/>
      <c r="BE4" s="11"/>
      <c r="BF4" s="9"/>
      <c r="BG4" s="9"/>
      <c r="BH4" s="9"/>
      <c r="BI4" s="9"/>
      <c r="BJ4" s="9"/>
      <c r="BK4" s="11"/>
      <c r="BL4" s="9"/>
      <c r="BM4" s="9"/>
      <c r="BN4" s="9"/>
      <c r="BO4" s="9"/>
      <c r="BP4" s="9"/>
      <c r="BQ4" s="11"/>
      <c r="BR4" s="9"/>
      <c r="BS4" s="9"/>
      <c r="BT4" s="9"/>
      <c r="BU4" s="9"/>
      <c r="BV4" s="9"/>
      <c r="BW4" s="11"/>
      <c r="BX4" s="9"/>
      <c r="BY4" s="9"/>
      <c r="BZ4" s="9"/>
      <c r="CA4" s="9"/>
      <c r="CB4" s="9"/>
      <c r="CC4" s="11"/>
      <c r="CD4" s="9"/>
      <c r="CE4" s="9"/>
      <c r="CF4" s="9"/>
      <c r="CG4" s="9"/>
      <c r="CH4" s="9"/>
      <c r="CI4" s="11"/>
      <c r="CJ4" s="9"/>
      <c r="CK4" s="9"/>
      <c r="CL4" s="9"/>
      <c r="CM4" s="9"/>
      <c r="CN4" s="9"/>
      <c r="CO4" s="11"/>
      <c r="CP4" s="9"/>
      <c r="CQ4" s="9"/>
      <c r="CR4" s="9"/>
      <c r="CS4" s="9"/>
      <c r="CT4" s="9"/>
      <c r="CU4" s="11"/>
      <c r="CV4" s="9"/>
      <c r="CW4" s="9"/>
      <c r="CX4" s="9"/>
      <c r="CY4" s="9"/>
      <c r="CZ4" s="9"/>
      <c r="DA4" s="11"/>
      <c r="DB4" s="9"/>
      <c r="DC4" s="9"/>
      <c r="DD4" s="9"/>
      <c r="DE4" s="9"/>
      <c r="DF4" s="9"/>
      <c r="DG4" s="11"/>
      <c r="DH4" s="9"/>
      <c r="DI4" s="9"/>
      <c r="DJ4" s="9"/>
      <c r="DK4" s="9"/>
      <c r="DL4" s="9"/>
      <c r="DM4" s="11"/>
      <c r="DN4" s="9"/>
      <c r="DO4" s="9"/>
      <c r="DP4" s="9"/>
      <c r="DQ4" s="9"/>
      <c r="DR4" s="9"/>
      <c r="DS4" s="11"/>
      <c r="DT4" s="9"/>
      <c r="DU4" s="9"/>
      <c r="DV4" s="9"/>
      <c r="DW4" s="9"/>
      <c r="DX4" s="9"/>
      <c r="DY4" s="11"/>
      <c r="DZ4" s="9"/>
      <c r="EA4" s="9"/>
      <c r="EB4" s="9"/>
      <c r="EC4" s="9"/>
      <c r="ED4" s="9"/>
      <c r="EE4" s="11"/>
    </row>
    <row r="5" ht="15" customHeight="1">
      <c r="A5" s="2"/>
      <c r="B5" s="2"/>
      <c r="C5" s="2"/>
      <c r="D5" t="s" s="2">
        <v>27</v>
      </c>
      <c r="E5" s="9"/>
      <c r="F5" s="9"/>
      <c r="G5" s="9"/>
      <c r="H5" s="9"/>
      <c r="I5" s="11">
        <v>1846.15</v>
      </c>
      <c r="J5" s="9"/>
      <c r="K5" s="9"/>
      <c r="L5" s="9"/>
      <c r="M5" s="9"/>
      <c r="N5" s="9"/>
      <c r="O5" s="11">
        <v>1538.46</v>
      </c>
      <c r="P5" s="9"/>
      <c r="Q5" s="9"/>
      <c r="R5" s="9"/>
      <c r="S5" s="9"/>
      <c r="T5" s="9"/>
      <c r="U5" s="11">
        <v>1538.46</v>
      </c>
      <c r="V5" s="9"/>
      <c r="W5" s="9"/>
      <c r="X5" s="9"/>
      <c r="Y5" s="9"/>
      <c r="Z5" s="9"/>
      <c r="AA5" s="11">
        <v>1538.46</v>
      </c>
      <c r="AB5" s="9"/>
      <c r="AC5" s="9"/>
      <c r="AD5" s="9"/>
      <c r="AE5" s="9"/>
      <c r="AF5" s="9"/>
      <c r="AG5" s="11">
        <v>1471.15</v>
      </c>
      <c r="AH5" s="9"/>
      <c r="AI5" s="9"/>
      <c r="AJ5" s="9"/>
      <c r="AK5" s="9"/>
      <c r="AL5" s="9"/>
      <c r="AM5" s="11">
        <v>1923.08</v>
      </c>
      <c r="AN5" s="9"/>
      <c r="AO5" s="9"/>
      <c r="AP5" s="9"/>
      <c r="AQ5" s="9"/>
      <c r="AR5" s="9"/>
      <c r="AS5" s="11">
        <v>1634.62</v>
      </c>
      <c r="AT5" s="9"/>
      <c r="AU5" s="9"/>
      <c r="AV5" s="9"/>
      <c r="AW5" s="9"/>
      <c r="AX5" s="9"/>
      <c r="AY5" s="11">
        <v>1634.62</v>
      </c>
      <c r="AZ5" s="9"/>
      <c r="BA5" s="9"/>
      <c r="BB5" s="9"/>
      <c r="BC5" s="9"/>
      <c r="BD5" s="9"/>
      <c r="BE5" s="11">
        <v>1730.77</v>
      </c>
      <c r="BF5" s="9"/>
      <c r="BG5" s="9"/>
      <c r="BH5" s="9"/>
      <c r="BI5" s="9"/>
      <c r="BJ5" s="9"/>
      <c r="BK5" s="11">
        <v>1500</v>
      </c>
      <c r="BL5" s="9"/>
      <c r="BM5" s="9"/>
      <c r="BN5" s="9"/>
      <c r="BO5" s="9"/>
      <c r="BP5" s="9"/>
      <c r="BQ5" s="11">
        <v>3000</v>
      </c>
      <c r="BR5" s="9"/>
      <c r="BS5" s="9"/>
      <c r="BT5" s="9"/>
      <c r="BU5" s="9"/>
      <c r="BV5" s="9"/>
      <c r="BW5" s="11">
        <v>3365.38</v>
      </c>
      <c r="BX5" s="9"/>
      <c r="BY5" s="9"/>
      <c r="BZ5" s="9"/>
      <c r="CA5" s="9"/>
      <c r="CB5" s="9"/>
      <c r="CC5" s="11">
        <v>4615.38</v>
      </c>
      <c r="CD5" s="9"/>
      <c r="CE5" s="9"/>
      <c r="CF5" s="9"/>
      <c r="CG5" s="9"/>
      <c r="CH5" s="9"/>
      <c r="CI5" s="11">
        <v>2163.46</v>
      </c>
      <c r="CJ5" s="9"/>
      <c r="CK5" s="9"/>
      <c r="CL5" s="9"/>
      <c r="CM5" s="9"/>
      <c r="CN5" s="9"/>
      <c r="CO5" s="11">
        <v>1817.31</v>
      </c>
      <c r="CP5" s="9"/>
      <c r="CQ5" s="9"/>
      <c r="CR5" s="9"/>
      <c r="CS5" s="9"/>
      <c r="CT5" s="9"/>
      <c r="CU5" s="11">
        <v>1368</v>
      </c>
      <c r="CV5" s="9"/>
      <c r="CW5" s="9"/>
      <c r="CX5" s="9"/>
      <c r="CY5" s="9"/>
      <c r="CZ5" s="9"/>
      <c r="DA5" s="11">
        <v>2211.54</v>
      </c>
      <c r="DB5" s="9"/>
      <c r="DC5" s="9"/>
      <c r="DD5" s="9"/>
      <c r="DE5" s="9"/>
      <c r="DF5" s="9"/>
      <c r="DG5" s="11">
        <v>1442.31</v>
      </c>
      <c r="DH5" s="9"/>
      <c r="DI5" s="9"/>
      <c r="DJ5" s="9"/>
      <c r="DK5" s="9"/>
      <c r="DL5" s="9"/>
      <c r="DM5" s="11">
        <v>1576.92</v>
      </c>
      <c r="DN5" s="9"/>
      <c r="DO5" s="9"/>
      <c r="DP5" s="9"/>
      <c r="DQ5" s="9"/>
      <c r="DR5" s="9"/>
      <c r="DS5" s="11">
        <v>1576.92</v>
      </c>
      <c r="DT5" s="9"/>
      <c r="DU5" s="9"/>
      <c r="DV5" s="9"/>
      <c r="DW5" s="9"/>
      <c r="DX5" s="9"/>
      <c r="DY5" s="11">
        <v>2019.23</v>
      </c>
      <c r="DZ5" s="9"/>
      <c r="EA5" s="9"/>
      <c r="EB5" s="9"/>
      <c r="EC5" s="9"/>
      <c r="ED5" s="9"/>
      <c r="EE5" s="11" cm="1">
        <f t="array" ref="EE5">ROUND(I5+O5+U5+AA5+AG5+AM5+AS5+AY5+BE5+BK5+BQ5+BW5+CC5+CI5+CO5+CU5+DA5+DG5+DM5+DS5+DY5,5)</f>
        <v>41512.22</v>
      </c>
    </row>
    <row r="6" ht="15" customHeight="1">
      <c r="A6" s="2"/>
      <c r="B6" s="2"/>
      <c r="C6" s="2"/>
      <c r="D6" t="s" s="2">
        <v>28</v>
      </c>
      <c r="E6" s="9"/>
      <c r="F6" s="9"/>
      <c r="G6" s="9"/>
      <c r="H6" s="9"/>
      <c r="I6" s="11">
        <v>0</v>
      </c>
      <c r="J6" s="9"/>
      <c r="K6" s="9"/>
      <c r="L6" s="9"/>
      <c r="M6" s="9"/>
      <c r="N6" s="9"/>
      <c r="O6" s="11">
        <v>0</v>
      </c>
      <c r="P6" s="9"/>
      <c r="Q6" s="9"/>
      <c r="R6" s="9"/>
      <c r="S6" s="9"/>
      <c r="T6" s="9"/>
      <c r="U6" s="11">
        <v>0</v>
      </c>
      <c r="V6" s="9"/>
      <c r="W6" s="9"/>
      <c r="X6" s="9"/>
      <c r="Y6" s="9"/>
      <c r="Z6" s="9"/>
      <c r="AA6" s="11">
        <v>0</v>
      </c>
      <c r="AB6" s="9"/>
      <c r="AC6" s="9"/>
      <c r="AD6" s="9"/>
      <c r="AE6" s="9"/>
      <c r="AF6" s="9"/>
      <c r="AG6" s="11">
        <v>0</v>
      </c>
      <c r="AH6" s="9"/>
      <c r="AI6" s="9"/>
      <c r="AJ6" s="9"/>
      <c r="AK6" s="9"/>
      <c r="AL6" s="9"/>
      <c r="AM6" s="11">
        <v>0</v>
      </c>
      <c r="AN6" s="9"/>
      <c r="AO6" s="9"/>
      <c r="AP6" s="9"/>
      <c r="AQ6" s="9"/>
      <c r="AR6" s="9"/>
      <c r="AS6" s="11">
        <v>0</v>
      </c>
      <c r="AT6" s="9"/>
      <c r="AU6" s="9"/>
      <c r="AV6" s="9"/>
      <c r="AW6" s="9"/>
      <c r="AX6" s="9"/>
      <c r="AY6" s="11">
        <v>0</v>
      </c>
      <c r="AZ6" s="9"/>
      <c r="BA6" s="9"/>
      <c r="BB6" s="9"/>
      <c r="BC6" s="9"/>
      <c r="BD6" s="9"/>
      <c r="BE6" s="11">
        <v>0</v>
      </c>
      <c r="BF6" s="9"/>
      <c r="BG6" s="9"/>
      <c r="BH6" s="9"/>
      <c r="BI6" s="9"/>
      <c r="BJ6" s="9"/>
      <c r="BK6" s="11">
        <v>0</v>
      </c>
      <c r="BL6" s="9"/>
      <c r="BM6" s="9"/>
      <c r="BN6" s="9"/>
      <c r="BO6" s="9"/>
      <c r="BP6" s="9"/>
      <c r="BQ6" s="11">
        <v>0</v>
      </c>
      <c r="BR6" s="9"/>
      <c r="BS6" s="9"/>
      <c r="BT6" s="9"/>
      <c r="BU6" s="9"/>
      <c r="BV6" s="9"/>
      <c r="BW6" s="11">
        <v>0</v>
      </c>
      <c r="BX6" s="9"/>
      <c r="BY6" s="9"/>
      <c r="BZ6" s="9"/>
      <c r="CA6" s="9"/>
      <c r="CB6" s="9"/>
      <c r="CC6" s="11">
        <v>0</v>
      </c>
      <c r="CD6" s="9"/>
      <c r="CE6" s="9"/>
      <c r="CF6" s="9"/>
      <c r="CG6" s="9"/>
      <c r="CH6" s="9"/>
      <c r="CI6" s="11">
        <v>0</v>
      </c>
      <c r="CJ6" s="9"/>
      <c r="CK6" s="9"/>
      <c r="CL6" s="9"/>
      <c r="CM6" s="9"/>
      <c r="CN6" s="9"/>
      <c r="CO6" s="11">
        <v>0</v>
      </c>
      <c r="CP6" s="9"/>
      <c r="CQ6" s="9"/>
      <c r="CR6" s="9"/>
      <c r="CS6" s="9"/>
      <c r="CT6" s="9"/>
      <c r="CU6" s="11">
        <v>0</v>
      </c>
      <c r="CV6" s="9"/>
      <c r="CW6" s="9"/>
      <c r="CX6" s="9"/>
      <c r="CY6" s="9"/>
      <c r="CZ6" s="9"/>
      <c r="DA6" s="11">
        <v>0</v>
      </c>
      <c r="DB6" s="9"/>
      <c r="DC6" s="9"/>
      <c r="DD6" s="9"/>
      <c r="DE6" s="9"/>
      <c r="DF6" s="9"/>
      <c r="DG6" s="11">
        <v>0</v>
      </c>
      <c r="DH6" s="9"/>
      <c r="DI6" s="9"/>
      <c r="DJ6" s="9"/>
      <c r="DK6" s="9"/>
      <c r="DL6" s="9"/>
      <c r="DM6" s="11">
        <v>0</v>
      </c>
      <c r="DN6" s="9"/>
      <c r="DO6" s="9"/>
      <c r="DP6" s="9"/>
      <c r="DQ6" s="9"/>
      <c r="DR6" s="9"/>
      <c r="DS6" s="11">
        <v>0</v>
      </c>
      <c r="DT6" s="9"/>
      <c r="DU6" s="9"/>
      <c r="DV6" s="9"/>
      <c r="DW6" s="9"/>
      <c r="DX6" s="9"/>
      <c r="DY6" s="11">
        <v>0</v>
      </c>
      <c r="DZ6" s="9"/>
      <c r="EA6" s="9"/>
      <c r="EB6" s="9"/>
      <c r="EC6" s="9"/>
      <c r="ED6" s="9"/>
      <c r="EE6" s="11" cm="1">
        <f t="array" ref="EE6">ROUND(I6+O6+U6+AA6+AG6+AM6+AS6+AY6+BE6+BK6+BQ6+BW6+CC6+CI6+CO6+CU6+DA6+DG6+DM6+DS6+DY6,5)</f>
        <v>0</v>
      </c>
    </row>
    <row r="7" ht="15" customHeight="1">
      <c r="A7" s="2"/>
      <c r="B7" s="2"/>
      <c r="C7" s="2"/>
      <c r="D7" t="s" s="2">
        <v>29</v>
      </c>
      <c r="E7" s="9"/>
      <c r="F7" s="9"/>
      <c r="G7" s="9"/>
      <c r="H7" s="9"/>
      <c r="I7" s="11">
        <v>0</v>
      </c>
      <c r="J7" s="9"/>
      <c r="K7" s="9"/>
      <c r="L7" s="9"/>
      <c r="M7" s="9"/>
      <c r="N7" s="9"/>
      <c r="O7" s="11">
        <v>0</v>
      </c>
      <c r="P7" s="9"/>
      <c r="Q7" s="9"/>
      <c r="R7" s="9"/>
      <c r="S7" s="9"/>
      <c r="T7" s="9"/>
      <c r="U7" s="11">
        <v>0</v>
      </c>
      <c r="V7" s="9"/>
      <c r="W7" s="9"/>
      <c r="X7" s="9"/>
      <c r="Y7" s="9"/>
      <c r="Z7" s="9"/>
      <c r="AA7" s="11">
        <v>0</v>
      </c>
      <c r="AB7" s="9"/>
      <c r="AC7" s="9"/>
      <c r="AD7" s="9"/>
      <c r="AE7" s="9"/>
      <c r="AF7" s="9"/>
      <c r="AG7" s="11">
        <v>0</v>
      </c>
      <c r="AH7" s="9"/>
      <c r="AI7" s="9"/>
      <c r="AJ7" s="9"/>
      <c r="AK7" s="9"/>
      <c r="AL7" s="9"/>
      <c r="AM7" s="11">
        <v>0</v>
      </c>
      <c r="AN7" s="9"/>
      <c r="AO7" s="9"/>
      <c r="AP7" s="9"/>
      <c r="AQ7" s="9"/>
      <c r="AR7" s="9"/>
      <c r="AS7" s="11">
        <v>0</v>
      </c>
      <c r="AT7" s="9"/>
      <c r="AU7" s="9"/>
      <c r="AV7" s="9"/>
      <c r="AW7" s="9"/>
      <c r="AX7" s="9"/>
      <c r="AY7" s="11">
        <v>0</v>
      </c>
      <c r="AZ7" s="9"/>
      <c r="BA7" s="9"/>
      <c r="BB7" s="9"/>
      <c r="BC7" s="9"/>
      <c r="BD7" s="9"/>
      <c r="BE7" s="11">
        <v>0</v>
      </c>
      <c r="BF7" s="9"/>
      <c r="BG7" s="9"/>
      <c r="BH7" s="9"/>
      <c r="BI7" s="9"/>
      <c r="BJ7" s="9"/>
      <c r="BK7" s="11">
        <v>0</v>
      </c>
      <c r="BL7" s="9"/>
      <c r="BM7" s="9"/>
      <c r="BN7" s="9"/>
      <c r="BO7" s="9"/>
      <c r="BP7" s="9"/>
      <c r="BQ7" s="11">
        <v>0</v>
      </c>
      <c r="BR7" s="9"/>
      <c r="BS7" s="9"/>
      <c r="BT7" s="9"/>
      <c r="BU7" s="9"/>
      <c r="BV7" s="9"/>
      <c r="BW7" s="11">
        <v>0</v>
      </c>
      <c r="BX7" s="9"/>
      <c r="BY7" s="9"/>
      <c r="BZ7" s="9"/>
      <c r="CA7" s="9"/>
      <c r="CB7" s="9"/>
      <c r="CC7" s="11">
        <v>0</v>
      </c>
      <c r="CD7" s="9"/>
      <c r="CE7" s="9"/>
      <c r="CF7" s="9"/>
      <c r="CG7" s="9"/>
      <c r="CH7" s="9"/>
      <c r="CI7" s="11">
        <v>0</v>
      </c>
      <c r="CJ7" s="9"/>
      <c r="CK7" s="9"/>
      <c r="CL7" s="9"/>
      <c r="CM7" s="9"/>
      <c r="CN7" s="9"/>
      <c r="CO7" s="11">
        <v>0</v>
      </c>
      <c r="CP7" s="9"/>
      <c r="CQ7" s="9"/>
      <c r="CR7" s="9"/>
      <c r="CS7" s="9"/>
      <c r="CT7" s="9"/>
      <c r="CU7" s="11">
        <v>0</v>
      </c>
      <c r="CV7" s="9"/>
      <c r="CW7" s="9"/>
      <c r="CX7" s="9"/>
      <c r="CY7" s="9"/>
      <c r="CZ7" s="9"/>
      <c r="DA7" s="11">
        <v>0</v>
      </c>
      <c r="DB7" s="9"/>
      <c r="DC7" s="9"/>
      <c r="DD7" s="9"/>
      <c r="DE7" s="9"/>
      <c r="DF7" s="9"/>
      <c r="DG7" s="11">
        <v>0</v>
      </c>
      <c r="DH7" s="9"/>
      <c r="DI7" s="9"/>
      <c r="DJ7" s="9"/>
      <c r="DK7" s="9"/>
      <c r="DL7" s="9"/>
      <c r="DM7" s="11">
        <v>0</v>
      </c>
      <c r="DN7" s="9"/>
      <c r="DO7" s="9"/>
      <c r="DP7" s="9"/>
      <c r="DQ7" s="9"/>
      <c r="DR7" s="9"/>
      <c r="DS7" s="11">
        <v>0</v>
      </c>
      <c r="DT7" s="9"/>
      <c r="DU7" s="9"/>
      <c r="DV7" s="9"/>
      <c r="DW7" s="9"/>
      <c r="DX7" s="9"/>
      <c r="DY7" s="11">
        <v>0</v>
      </c>
      <c r="DZ7" s="9"/>
      <c r="EA7" s="9"/>
      <c r="EB7" s="9"/>
      <c r="EC7" s="9"/>
      <c r="ED7" s="9"/>
      <c r="EE7" s="11" cm="1">
        <f t="array" ref="EE7">ROUND(I7+O7+U7+AA7+AG7+AM7+AS7+AY7+BE7+BK7+BQ7+BW7+CC7+CI7+CO7+CU7+DA7+DG7+DM7+DS7+DY7,5)</f>
        <v>0</v>
      </c>
    </row>
    <row r="8" ht="15" customHeight="1">
      <c r="A8" s="2"/>
      <c r="B8" s="2"/>
      <c r="C8" s="2"/>
      <c r="D8" t="s" s="2">
        <v>30</v>
      </c>
      <c r="E8" s="9"/>
      <c r="F8" s="9"/>
      <c r="G8" s="9"/>
      <c r="H8" s="9"/>
      <c r="I8" s="11">
        <v>110.77</v>
      </c>
      <c r="J8" s="9"/>
      <c r="K8" s="9"/>
      <c r="L8" s="9"/>
      <c r="M8" s="9"/>
      <c r="N8" s="9"/>
      <c r="O8" s="11">
        <v>0</v>
      </c>
      <c r="P8" s="9"/>
      <c r="Q8" s="9"/>
      <c r="R8" s="9"/>
      <c r="S8" s="9"/>
      <c r="T8" s="9"/>
      <c r="U8" s="11">
        <v>92.31</v>
      </c>
      <c r="V8" s="9"/>
      <c r="W8" s="9"/>
      <c r="X8" s="9"/>
      <c r="Y8" s="9"/>
      <c r="Z8" s="9"/>
      <c r="AA8" s="11">
        <v>0</v>
      </c>
      <c r="AB8" s="9"/>
      <c r="AC8" s="9"/>
      <c r="AD8" s="9"/>
      <c r="AE8" s="9"/>
      <c r="AF8" s="9"/>
      <c r="AG8" s="11">
        <v>88.27</v>
      </c>
      <c r="AH8" s="9"/>
      <c r="AI8" s="9"/>
      <c r="AJ8" s="9"/>
      <c r="AK8" s="9"/>
      <c r="AL8" s="9"/>
      <c r="AM8" s="11">
        <v>115.38</v>
      </c>
      <c r="AN8" s="9"/>
      <c r="AO8" s="9"/>
      <c r="AP8" s="9"/>
      <c r="AQ8" s="9"/>
      <c r="AR8" s="9"/>
      <c r="AS8" s="11">
        <v>0</v>
      </c>
      <c r="AT8" s="9"/>
      <c r="AU8" s="9"/>
      <c r="AV8" s="9"/>
      <c r="AW8" s="9"/>
      <c r="AX8" s="9"/>
      <c r="AY8" s="11">
        <v>0</v>
      </c>
      <c r="AZ8" s="9"/>
      <c r="BA8" s="9"/>
      <c r="BB8" s="9"/>
      <c r="BC8" s="9"/>
      <c r="BD8" s="9"/>
      <c r="BE8" s="11">
        <v>0</v>
      </c>
      <c r="BF8" s="9"/>
      <c r="BG8" s="9"/>
      <c r="BH8" s="9"/>
      <c r="BI8" s="9"/>
      <c r="BJ8" s="9"/>
      <c r="BK8" s="11">
        <v>0</v>
      </c>
      <c r="BL8" s="9"/>
      <c r="BM8" s="9"/>
      <c r="BN8" s="9"/>
      <c r="BO8" s="9"/>
      <c r="BP8" s="9"/>
      <c r="BQ8" s="11">
        <v>180</v>
      </c>
      <c r="BR8" s="9"/>
      <c r="BS8" s="9"/>
      <c r="BT8" s="9"/>
      <c r="BU8" s="9"/>
      <c r="BV8" s="9"/>
      <c r="BW8" s="11">
        <v>428.71</v>
      </c>
      <c r="BX8" s="9"/>
      <c r="BY8" s="9"/>
      <c r="BZ8" s="9"/>
      <c r="CA8" s="9"/>
      <c r="CB8" s="9"/>
      <c r="CC8" s="11">
        <v>555.85</v>
      </c>
      <c r="CD8" s="9"/>
      <c r="CE8" s="9"/>
      <c r="CF8" s="9"/>
      <c r="CG8" s="9"/>
      <c r="CH8" s="9"/>
      <c r="CI8" s="11">
        <v>129.81</v>
      </c>
      <c r="CJ8" s="9"/>
      <c r="CK8" s="9"/>
      <c r="CL8" s="9"/>
      <c r="CM8" s="9"/>
      <c r="CN8" s="9"/>
      <c r="CO8" s="11">
        <v>109.04</v>
      </c>
      <c r="CP8" s="9"/>
      <c r="CQ8" s="9"/>
      <c r="CR8" s="9"/>
      <c r="CS8" s="9"/>
      <c r="CT8" s="9"/>
      <c r="CU8" s="11">
        <v>82.08</v>
      </c>
      <c r="CV8" s="9"/>
      <c r="CW8" s="9"/>
      <c r="CX8" s="9"/>
      <c r="CY8" s="9"/>
      <c r="CZ8" s="9"/>
      <c r="DA8" s="11">
        <v>0</v>
      </c>
      <c r="DB8" s="9"/>
      <c r="DC8" s="9"/>
      <c r="DD8" s="9"/>
      <c r="DE8" s="9"/>
      <c r="DF8" s="9"/>
      <c r="DG8" s="11">
        <v>0</v>
      </c>
      <c r="DH8" s="9"/>
      <c r="DI8" s="9"/>
      <c r="DJ8" s="9"/>
      <c r="DK8" s="9"/>
      <c r="DL8" s="9"/>
      <c r="DM8" s="11">
        <v>103.62</v>
      </c>
      <c r="DN8" s="9"/>
      <c r="DO8" s="9"/>
      <c r="DP8" s="9"/>
      <c r="DQ8" s="9"/>
      <c r="DR8" s="9"/>
      <c r="DS8" s="11">
        <v>0</v>
      </c>
      <c r="DT8" s="9"/>
      <c r="DU8" s="9"/>
      <c r="DV8" s="9"/>
      <c r="DW8" s="9"/>
      <c r="DX8" s="9"/>
      <c r="DY8" s="11">
        <v>510.5</v>
      </c>
      <c r="DZ8" s="9"/>
      <c r="EA8" s="9"/>
      <c r="EB8" s="9"/>
      <c r="EC8" s="9"/>
      <c r="ED8" s="9"/>
      <c r="EE8" s="11" cm="1">
        <f t="array" ref="EE8">ROUND(I8+O8+U8+AA8+AG8+AM8+AS8+AY8+BE8+BK8+BQ8+BW8+CC8+CI8+CO8+CU8+DA8+DG8+DM8+DS8+DY8,5)</f>
        <v>2506.34</v>
      </c>
    </row>
    <row r="9" ht="15" customHeight="1">
      <c r="A9" s="2"/>
      <c r="B9" s="2"/>
      <c r="C9" s="2"/>
      <c r="D9" t="s" s="2">
        <v>31</v>
      </c>
      <c r="E9" s="9"/>
      <c r="F9" s="9"/>
      <c r="G9" s="9"/>
      <c r="H9" s="9"/>
      <c r="I9" s="11">
        <v>0</v>
      </c>
      <c r="J9" s="9"/>
      <c r="K9" s="9"/>
      <c r="L9" s="9"/>
      <c r="M9" s="9"/>
      <c r="N9" s="9"/>
      <c r="O9" s="11">
        <v>0</v>
      </c>
      <c r="P9" s="9"/>
      <c r="Q9" s="9"/>
      <c r="R9" s="9"/>
      <c r="S9" s="9"/>
      <c r="T9" s="9"/>
      <c r="U9" s="11">
        <v>0</v>
      </c>
      <c r="V9" s="9"/>
      <c r="W9" s="9"/>
      <c r="X9" s="9"/>
      <c r="Y9" s="9"/>
      <c r="Z9" s="9"/>
      <c r="AA9" s="11">
        <v>0</v>
      </c>
      <c r="AB9" s="9"/>
      <c r="AC9" s="9"/>
      <c r="AD9" s="9"/>
      <c r="AE9" s="9"/>
      <c r="AF9" s="9"/>
      <c r="AG9" s="11">
        <v>0</v>
      </c>
      <c r="AH9" s="9"/>
      <c r="AI9" s="9"/>
      <c r="AJ9" s="9"/>
      <c r="AK9" s="9"/>
      <c r="AL9" s="9"/>
      <c r="AM9" s="11">
        <v>0</v>
      </c>
      <c r="AN9" s="9"/>
      <c r="AO9" s="9"/>
      <c r="AP9" s="9"/>
      <c r="AQ9" s="9"/>
      <c r="AR9" s="9"/>
      <c r="AS9" s="11">
        <v>0</v>
      </c>
      <c r="AT9" s="9"/>
      <c r="AU9" s="9"/>
      <c r="AV9" s="9"/>
      <c r="AW9" s="9"/>
      <c r="AX9" s="9"/>
      <c r="AY9" s="11">
        <v>0</v>
      </c>
      <c r="AZ9" s="9"/>
      <c r="BA9" s="9"/>
      <c r="BB9" s="9"/>
      <c r="BC9" s="9"/>
      <c r="BD9" s="9"/>
      <c r="BE9" s="11">
        <v>0</v>
      </c>
      <c r="BF9" s="9"/>
      <c r="BG9" s="9"/>
      <c r="BH9" s="9"/>
      <c r="BI9" s="9"/>
      <c r="BJ9" s="9"/>
      <c r="BK9" s="11">
        <v>0</v>
      </c>
      <c r="BL9" s="9"/>
      <c r="BM9" s="9"/>
      <c r="BN9" s="9"/>
      <c r="BO9" s="9"/>
      <c r="BP9" s="9"/>
      <c r="BQ9" s="11">
        <v>0</v>
      </c>
      <c r="BR9" s="9"/>
      <c r="BS9" s="9"/>
      <c r="BT9" s="9"/>
      <c r="BU9" s="9"/>
      <c r="BV9" s="9"/>
      <c r="BW9" s="11">
        <v>0</v>
      </c>
      <c r="BX9" s="9"/>
      <c r="BY9" s="9"/>
      <c r="BZ9" s="9"/>
      <c r="CA9" s="9"/>
      <c r="CB9" s="9"/>
      <c r="CC9" s="11">
        <v>0</v>
      </c>
      <c r="CD9" s="9"/>
      <c r="CE9" s="9"/>
      <c r="CF9" s="9"/>
      <c r="CG9" s="9"/>
      <c r="CH9" s="9"/>
      <c r="CI9" s="11">
        <v>0</v>
      </c>
      <c r="CJ9" s="9"/>
      <c r="CK9" s="9"/>
      <c r="CL9" s="9"/>
      <c r="CM9" s="9"/>
      <c r="CN9" s="9"/>
      <c r="CO9" s="11">
        <v>0</v>
      </c>
      <c r="CP9" s="9"/>
      <c r="CQ9" s="9"/>
      <c r="CR9" s="9"/>
      <c r="CS9" s="9"/>
      <c r="CT9" s="9"/>
      <c r="CU9" s="11">
        <v>0</v>
      </c>
      <c r="CV9" s="9"/>
      <c r="CW9" s="9"/>
      <c r="CX9" s="9"/>
      <c r="CY9" s="9"/>
      <c r="CZ9" s="9"/>
      <c r="DA9" s="11">
        <v>0</v>
      </c>
      <c r="DB9" s="9"/>
      <c r="DC9" s="9"/>
      <c r="DD9" s="9"/>
      <c r="DE9" s="9"/>
      <c r="DF9" s="9"/>
      <c r="DG9" s="11">
        <v>0</v>
      </c>
      <c r="DH9" s="9"/>
      <c r="DI9" s="9"/>
      <c r="DJ9" s="9"/>
      <c r="DK9" s="9"/>
      <c r="DL9" s="9"/>
      <c r="DM9" s="11">
        <v>150</v>
      </c>
      <c r="DN9" s="9"/>
      <c r="DO9" s="9"/>
      <c r="DP9" s="9"/>
      <c r="DQ9" s="9"/>
      <c r="DR9" s="9"/>
      <c r="DS9" s="11">
        <v>0</v>
      </c>
      <c r="DT9" s="9"/>
      <c r="DU9" s="9"/>
      <c r="DV9" s="9"/>
      <c r="DW9" s="9"/>
      <c r="DX9" s="9"/>
      <c r="DY9" s="11">
        <v>0</v>
      </c>
      <c r="DZ9" s="9"/>
      <c r="EA9" s="9"/>
      <c r="EB9" s="9"/>
      <c r="EC9" s="9"/>
      <c r="ED9" s="9"/>
      <c r="EE9" s="11" cm="1">
        <f t="array" ref="EE9">ROUND(I9+O9+U9+AA9+AG9+AM9+AS9+AY9+BE9+BK9+BQ9+BW9+CC9+CI9+CO9+CU9+DA9+DG9+DM9+DS9+DY9,5)</f>
        <v>150</v>
      </c>
    </row>
    <row r="10" ht="15.75" customHeight="1">
      <c r="A10" s="2"/>
      <c r="B10" s="2"/>
      <c r="C10" s="2"/>
      <c r="D10" t="s" s="2">
        <v>32</v>
      </c>
      <c r="E10" s="9"/>
      <c r="F10" s="9"/>
      <c r="G10" s="9"/>
      <c r="H10" s="9"/>
      <c r="I10" s="12">
        <v>0</v>
      </c>
      <c r="J10" s="9"/>
      <c r="K10" s="9"/>
      <c r="L10" s="9"/>
      <c r="M10" s="9"/>
      <c r="N10" s="9"/>
      <c r="O10" s="12">
        <v>0</v>
      </c>
      <c r="P10" s="9"/>
      <c r="Q10" s="9"/>
      <c r="R10" s="9"/>
      <c r="S10" s="9"/>
      <c r="T10" s="9"/>
      <c r="U10" s="12">
        <v>0</v>
      </c>
      <c r="V10" s="9"/>
      <c r="W10" s="9"/>
      <c r="X10" s="9"/>
      <c r="Y10" s="9"/>
      <c r="Z10" s="9"/>
      <c r="AA10" s="12">
        <v>0</v>
      </c>
      <c r="AB10" s="9"/>
      <c r="AC10" s="9"/>
      <c r="AD10" s="9"/>
      <c r="AE10" s="9"/>
      <c r="AF10" s="9"/>
      <c r="AG10" s="12">
        <v>0</v>
      </c>
      <c r="AH10" s="9"/>
      <c r="AI10" s="9"/>
      <c r="AJ10" s="9"/>
      <c r="AK10" s="9"/>
      <c r="AL10" s="9"/>
      <c r="AM10" s="12">
        <v>0</v>
      </c>
      <c r="AN10" s="9"/>
      <c r="AO10" s="9"/>
      <c r="AP10" s="9"/>
      <c r="AQ10" s="9"/>
      <c r="AR10" s="9"/>
      <c r="AS10" s="12">
        <v>0</v>
      </c>
      <c r="AT10" s="9"/>
      <c r="AU10" s="9"/>
      <c r="AV10" s="9"/>
      <c r="AW10" s="9"/>
      <c r="AX10" s="9"/>
      <c r="AY10" s="12">
        <v>0</v>
      </c>
      <c r="AZ10" s="9"/>
      <c r="BA10" s="9"/>
      <c r="BB10" s="9"/>
      <c r="BC10" s="9"/>
      <c r="BD10" s="9"/>
      <c r="BE10" s="12">
        <v>0</v>
      </c>
      <c r="BF10" s="9"/>
      <c r="BG10" s="9"/>
      <c r="BH10" s="9"/>
      <c r="BI10" s="9"/>
      <c r="BJ10" s="9"/>
      <c r="BK10" s="12">
        <v>0</v>
      </c>
      <c r="BL10" s="9"/>
      <c r="BM10" s="9"/>
      <c r="BN10" s="9"/>
      <c r="BO10" s="9"/>
      <c r="BP10" s="9"/>
      <c r="BQ10" s="12">
        <v>0</v>
      </c>
      <c r="BR10" s="9"/>
      <c r="BS10" s="9"/>
      <c r="BT10" s="9"/>
      <c r="BU10" s="9"/>
      <c r="BV10" s="9"/>
      <c r="BW10" s="12">
        <v>0</v>
      </c>
      <c r="BX10" s="9"/>
      <c r="BY10" s="9"/>
      <c r="BZ10" s="9"/>
      <c r="CA10" s="9"/>
      <c r="CB10" s="9"/>
      <c r="CC10" s="12">
        <v>0</v>
      </c>
      <c r="CD10" s="9"/>
      <c r="CE10" s="9"/>
      <c r="CF10" s="9"/>
      <c r="CG10" s="9"/>
      <c r="CH10" s="9"/>
      <c r="CI10" s="12">
        <v>320</v>
      </c>
      <c r="CJ10" s="9"/>
      <c r="CK10" s="9"/>
      <c r="CL10" s="9"/>
      <c r="CM10" s="9"/>
      <c r="CN10" s="9"/>
      <c r="CO10" s="12">
        <v>0</v>
      </c>
      <c r="CP10" s="9"/>
      <c r="CQ10" s="9"/>
      <c r="CR10" s="9"/>
      <c r="CS10" s="9"/>
      <c r="CT10" s="9"/>
      <c r="CU10" s="12">
        <v>0</v>
      </c>
      <c r="CV10" s="9"/>
      <c r="CW10" s="9"/>
      <c r="CX10" s="9"/>
      <c r="CY10" s="9"/>
      <c r="CZ10" s="9"/>
      <c r="DA10" s="12">
        <v>0</v>
      </c>
      <c r="DB10" s="9"/>
      <c r="DC10" s="9"/>
      <c r="DD10" s="9"/>
      <c r="DE10" s="9"/>
      <c r="DF10" s="9"/>
      <c r="DG10" s="12">
        <v>0</v>
      </c>
      <c r="DH10" s="9"/>
      <c r="DI10" s="9"/>
      <c r="DJ10" s="9"/>
      <c r="DK10" s="9"/>
      <c r="DL10" s="9"/>
      <c r="DM10" s="12">
        <v>0</v>
      </c>
      <c r="DN10" s="9"/>
      <c r="DO10" s="9"/>
      <c r="DP10" s="9"/>
      <c r="DQ10" s="9"/>
      <c r="DR10" s="9"/>
      <c r="DS10" s="12">
        <v>0</v>
      </c>
      <c r="DT10" s="9"/>
      <c r="DU10" s="9"/>
      <c r="DV10" s="9"/>
      <c r="DW10" s="9"/>
      <c r="DX10" s="9"/>
      <c r="DY10" s="12">
        <v>0</v>
      </c>
      <c r="DZ10" s="9"/>
      <c r="EA10" s="9"/>
      <c r="EB10" s="9"/>
      <c r="EC10" s="9"/>
      <c r="ED10" s="9"/>
      <c r="EE10" s="12" cm="1">
        <f t="array" ref="EE10">ROUND(I10+O10+U10+AA10+AG10+AM10+AS10+AY10+BE10+BK10+BQ10+BW10+CC10+CI10+CO10+CU10+DA10+DG10+DM10+DS10+DY10,5)</f>
        <v>320</v>
      </c>
    </row>
    <row r="11" ht="15" customHeight="1">
      <c r="A11" s="2"/>
      <c r="B11" s="2"/>
      <c r="C11" t="s" s="2">
        <v>33</v>
      </c>
      <c r="D11" s="2"/>
      <c r="E11" s="9"/>
      <c r="F11" s="9"/>
      <c r="G11" s="9"/>
      <c r="H11" s="9"/>
      <c r="I11" s="13" cm="1">
        <f t="array" ref="I11">ROUND(SUM(I4:I10),5)</f>
        <v>1956.92</v>
      </c>
      <c r="J11" s="9"/>
      <c r="K11" s="9"/>
      <c r="L11" s="9"/>
      <c r="M11" s="9"/>
      <c r="N11" s="9"/>
      <c r="O11" s="13" cm="1">
        <f t="array" ref="O11">ROUND(SUM(O4:O10),5)</f>
        <v>1538.46</v>
      </c>
      <c r="P11" s="9"/>
      <c r="Q11" s="9"/>
      <c r="R11" s="9"/>
      <c r="S11" s="9"/>
      <c r="T11" s="9"/>
      <c r="U11" s="13" cm="1">
        <f t="array" ref="U11">ROUND(SUM(U4:U10),5)</f>
        <v>1630.77</v>
      </c>
      <c r="V11" s="9"/>
      <c r="W11" s="9"/>
      <c r="X11" s="9"/>
      <c r="Y11" s="9"/>
      <c r="Z11" s="9"/>
      <c r="AA11" s="13" cm="1">
        <f t="array" ref="AA11">ROUND(SUM(AA4:AA10),5)</f>
        <v>1538.46</v>
      </c>
      <c r="AB11" s="9"/>
      <c r="AC11" s="9"/>
      <c r="AD11" s="9"/>
      <c r="AE11" s="9"/>
      <c r="AF11" s="9"/>
      <c r="AG11" s="13" cm="1">
        <f t="array" ref="AG11">ROUND(SUM(AG4:AG10),5)</f>
        <v>1559.42</v>
      </c>
      <c r="AH11" s="9"/>
      <c r="AI11" s="9"/>
      <c r="AJ11" s="9"/>
      <c r="AK11" s="9"/>
      <c r="AL11" s="9"/>
      <c r="AM11" s="13" cm="1">
        <f t="array" ref="AM11">ROUND(SUM(AM4:AM10),5)</f>
        <v>2038.46</v>
      </c>
      <c r="AN11" s="9"/>
      <c r="AO11" s="9"/>
      <c r="AP11" s="9"/>
      <c r="AQ11" s="9"/>
      <c r="AR11" s="9"/>
      <c r="AS11" s="13" cm="1">
        <f t="array" ref="AS11">ROUND(SUM(AS4:AS10),5)</f>
        <v>1634.62</v>
      </c>
      <c r="AT11" s="9"/>
      <c r="AU11" s="9"/>
      <c r="AV11" s="9"/>
      <c r="AW11" s="9"/>
      <c r="AX11" s="9"/>
      <c r="AY11" s="13" cm="1">
        <f t="array" ref="AY11">ROUND(SUM(AY4:AY10),5)</f>
        <v>1634.62</v>
      </c>
      <c r="AZ11" s="9"/>
      <c r="BA11" s="9"/>
      <c r="BB11" s="9"/>
      <c r="BC11" s="9"/>
      <c r="BD11" s="9"/>
      <c r="BE11" s="13" cm="1">
        <f t="array" ref="BE11">ROUND(SUM(BE4:BE10),5)</f>
        <v>1730.77</v>
      </c>
      <c r="BF11" s="9"/>
      <c r="BG11" s="9"/>
      <c r="BH11" s="9"/>
      <c r="BI11" s="9"/>
      <c r="BJ11" s="9"/>
      <c r="BK11" s="13" cm="1">
        <f t="array" ref="BK11">ROUND(SUM(BK4:BK10),5)</f>
        <v>1500</v>
      </c>
      <c r="BL11" s="9"/>
      <c r="BM11" s="9"/>
      <c r="BN11" s="9"/>
      <c r="BO11" s="9"/>
      <c r="BP11" s="9"/>
      <c r="BQ11" s="13" cm="1">
        <f t="array" ref="BQ11">ROUND(SUM(BQ4:BQ10),5)</f>
        <v>3180</v>
      </c>
      <c r="BR11" s="9"/>
      <c r="BS11" s="9"/>
      <c r="BT11" s="9"/>
      <c r="BU11" s="9"/>
      <c r="BV11" s="9"/>
      <c r="BW11" s="13" cm="1">
        <f t="array" ref="BW11">ROUND(SUM(BW4:BW10),5)</f>
        <v>3794.09</v>
      </c>
      <c r="BX11" s="9"/>
      <c r="BY11" s="9"/>
      <c r="BZ11" s="9"/>
      <c r="CA11" s="9"/>
      <c r="CB11" s="9"/>
      <c r="CC11" s="13" cm="1">
        <f t="array" ref="CC11">ROUND(SUM(CC4:CC10),5)</f>
        <v>5171.23</v>
      </c>
      <c r="CD11" s="9"/>
      <c r="CE11" s="9"/>
      <c r="CF11" s="9"/>
      <c r="CG11" s="9"/>
      <c r="CH11" s="9"/>
      <c r="CI11" s="13" cm="1">
        <f t="array" ref="CI11">ROUND(SUM(CI4:CI10),5)</f>
        <v>2613.27</v>
      </c>
      <c r="CJ11" s="9"/>
      <c r="CK11" s="9"/>
      <c r="CL11" s="9"/>
      <c r="CM11" s="9"/>
      <c r="CN11" s="9"/>
      <c r="CO11" s="13" cm="1">
        <f t="array" ref="CO11">ROUND(SUM(CO4:CO10),5)</f>
        <v>1926.35</v>
      </c>
      <c r="CP11" s="9"/>
      <c r="CQ11" s="9"/>
      <c r="CR11" s="9"/>
      <c r="CS11" s="9"/>
      <c r="CT11" s="9"/>
      <c r="CU11" s="13" cm="1">
        <f t="array" ref="CU11">ROUND(SUM(CU4:CU10),5)</f>
        <v>1450.08</v>
      </c>
      <c r="CV11" s="9"/>
      <c r="CW11" s="9"/>
      <c r="CX11" s="9"/>
      <c r="CY11" s="9"/>
      <c r="CZ11" s="9"/>
      <c r="DA11" s="13" cm="1">
        <f t="array" ref="DA11">ROUND(SUM(DA4:DA10),5)</f>
        <v>2211.54</v>
      </c>
      <c r="DB11" s="9"/>
      <c r="DC11" s="9"/>
      <c r="DD11" s="9"/>
      <c r="DE11" s="9"/>
      <c r="DF11" s="9"/>
      <c r="DG11" s="13" cm="1">
        <f t="array" ref="DG11">ROUND(SUM(DG4:DG10),5)</f>
        <v>1442.31</v>
      </c>
      <c r="DH11" s="9"/>
      <c r="DI11" s="9"/>
      <c r="DJ11" s="9"/>
      <c r="DK11" s="9"/>
      <c r="DL11" s="9"/>
      <c r="DM11" s="13" cm="1">
        <f t="array" ref="DM11">ROUND(SUM(DM4:DM10),5)</f>
        <v>1830.54</v>
      </c>
      <c r="DN11" s="9"/>
      <c r="DO11" s="9"/>
      <c r="DP11" s="9"/>
      <c r="DQ11" s="9"/>
      <c r="DR11" s="9"/>
      <c r="DS11" s="13" cm="1">
        <f t="array" ref="DS11">ROUND(SUM(DS4:DS10),5)</f>
        <v>1576.92</v>
      </c>
      <c r="DT11" s="9"/>
      <c r="DU11" s="9"/>
      <c r="DV11" s="9"/>
      <c r="DW11" s="9"/>
      <c r="DX11" s="9"/>
      <c r="DY11" s="13" cm="1">
        <f t="array" ref="DY11">ROUND(SUM(DY4:DY10),5)</f>
        <v>2529.73</v>
      </c>
      <c r="DZ11" s="9"/>
      <c r="EA11" s="9"/>
      <c r="EB11" s="9"/>
      <c r="EC11" s="9"/>
      <c r="ED11" s="9"/>
      <c r="EE11" s="13" cm="1">
        <f t="array" ref="EE11">ROUND(I11+O11+U11+AA11+AG11+AM11+AS11+AY11+BE11+BK11+BQ11+BW11+CC11+CI11+CO11+CU11+DA11+DG11+DM11+DS11+DY11,5)</f>
        <v>44488.56</v>
      </c>
    </row>
    <row r="12" ht="15" customHeight="1">
      <c r="A12" s="2"/>
      <c r="B12" s="2"/>
      <c r="C12" t="s" s="2">
        <v>34</v>
      </c>
      <c r="D12" s="2"/>
      <c r="E12" s="9"/>
      <c r="F12" s="9"/>
      <c r="G12" s="9"/>
      <c r="H12" s="9"/>
      <c r="I12" s="11"/>
      <c r="J12" s="9"/>
      <c r="K12" s="9"/>
      <c r="L12" s="9"/>
      <c r="M12" s="9"/>
      <c r="N12" s="9"/>
      <c r="O12" s="11"/>
      <c r="P12" s="9"/>
      <c r="Q12" s="9"/>
      <c r="R12" s="9"/>
      <c r="S12" s="9"/>
      <c r="T12" s="9"/>
      <c r="U12" s="11"/>
      <c r="V12" s="9"/>
      <c r="W12" s="9"/>
      <c r="X12" s="9"/>
      <c r="Y12" s="9"/>
      <c r="Z12" s="9"/>
      <c r="AA12" s="11"/>
      <c r="AB12" s="9"/>
      <c r="AC12" s="9"/>
      <c r="AD12" s="9"/>
      <c r="AE12" s="9"/>
      <c r="AF12" s="9"/>
      <c r="AG12" s="11"/>
      <c r="AH12" s="9"/>
      <c r="AI12" s="9"/>
      <c r="AJ12" s="9"/>
      <c r="AK12" s="9"/>
      <c r="AL12" s="9"/>
      <c r="AM12" s="11"/>
      <c r="AN12" s="9"/>
      <c r="AO12" s="9"/>
      <c r="AP12" s="9"/>
      <c r="AQ12" s="9"/>
      <c r="AR12" s="9"/>
      <c r="AS12" s="11"/>
      <c r="AT12" s="9"/>
      <c r="AU12" s="9"/>
      <c r="AV12" s="9"/>
      <c r="AW12" s="9"/>
      <c r="AX12" s="9"/>
      <c r="AY12" s="11"/>
      <c r="AZ12" s="9"/>
      <c r="BA12" s="9"/>
      <c r="BB12" s="9"/>
      <c r="BC12" s="9"/>
      <c r="BD12" s="9"/>
      <c r="BE12" s="11"/>
      <c r="BF12" s="9"/>
      <c r="BG12" s="9"/>
      <c r="BH12" s="9"/>
      <c r="BI12" s="9"/>
      <c r="BJ12" s="9"/>
      <c r="BK12" s="11"/>
      <c r="BL12" s="9"/>
      <c r="BM12" s="9"/>
      <c r="BN12" s="9"/>
      <c r="BO12" s="9"/>
      <c r="BP12" s="9"/>
      <c r="BQ12" s="11"/>
      <c r="BR12" s="9"/>
      <c r="BS12" s="9"/>
      <c r="BT12" s="9"/>
      <c r="BU12" s="9"/>
      <c r="BV12" s="9"/>
      <c r="BW12" s="11"/>
      <c r="BX12" s="9"/>
      <c r="BY12" s="9"/>
      <c r="BZ12" s="9"/>
      <c r="CA12" s="9"/>
      <c r="CB12" s="9"/>
      <c r="CC12" s="11"/>
      <c r="CD12" s="9"/>
      <c r="CE12" s="9"/>
      <c r="CF12" s="9"/>
      <c r="CG12" s="9"/>
      <c r="CH12" s="9"/>
      <c r="CI12" s="11"/>
      <c r="CJ12" s="9"/>
      <c r="CK12" s="9"/>
      <c r="CL12" s="9"/>
      <c r="CM12" s="9"/>
      <c r="CN12" s="9"/>
      <c r="CO12" s="11"/>
      <c r="CP12" s="9"/>
      <c r="CQ12" s="9"/>
      <c r="CR12" s="9"/>
      <c r="CS12" s="9"/>
      <c r="CT12" s="9"/>
      <c r="CU12" s="11"/>
      <c r="CV12" s="9"/>
      <c r="CW12" s="9"/>
      <c r="CX12" s="9"/>
      <c r="CY12" s="9"/>
      <c r="CZ12" s="9"/>
      <c r="DA12" s="11"/>
      <c r="DB12" s="9"/>
      <c r="DC12" s="9"/>
      <c r="DD12" s="9"/>
      <c r="DE12" s="9"/>
      <c r="DF12" s="9"/>
      <c r="DG12" s="11"/>
      <c r="DH12" s="9"/>
      <c r="DI12" s="9"/>
      <c r="DJ12" s="9"/>
      <c r="DK12" s="9"/>
      <c r="DL12" s="9"/>
      <c r="DM12" s="11"/>
      <c r="DN12" s="9"/>
      <c r="DO12" s="9"/>
      <c r="DP12" s="9"/>
      <c r="DQ12" s="9"/>
      <c r="DR12" s="9"/>
      <c r="DS12" s="11"/>
      <c r="DT12" s="9"/>
      <c r="DU12" s="9"/>
      <c r="DV12" s="9"/>
      <c r="DW12" s="9"/>
      <c r="DX12" s="9"/>
      <c r="DY12" s="11"/>
      <c r="DZ12" s="9"/>
      <c r="EA12" s="9"/>
      <c r="EB12" s="9"/>
      <c r="EC12" s="9"/>
      <c r="ED12" s="9"/>
      <c r="EE12" s="11"/>
    </row>
    <row r="13" ht="15" customHeight="1">
      <c r="A13" s="2"/>
      <c r="B13" s="2"/>
      <c r="C13" s="2"/>
      <c r="D13" t="s" s="2">
        <v>35</v>
      </c>
      <c r="E13" s="9"/>
      <c r="F13" s="9"/>
      <c r="G13" s="9"/>
      <c r="H13" s="9"/>
      <c r="I13" s="11">
        <v>0</v>
      </c>
      <c r="J13" s="9"/>
      <c r="K13" s="9"/>
      <c r="L13" s="9"/>
      <c r="M13" s="9"/>
      <c r="N13" s="9"/>
      <c r="O13" s="11">
        <v>0</v>
      </c>
      <c r="P13" s="9"/>
      <c r="Q13" s="9"/>
      <c r="R13" s="9"/>
      <c r="S13" s="9"/>
      <c r="T13" s="9"/>
      <c r="U13" s="11">
        <v>0</v>
      </c>
      <c r="V13" s="9"/>
      <c r="W13" s="9"/>
      <c r="X13" s="9"/>
      <c r="Y13" s="9"/>
      <c r="Z13" s="9"/>
      <c r="AA13" s="11">
        <v>0</v>
      </c>
      <c r="AB13" s="9"/>
      <c r="AC13" s="9"/>
      <c r="AD13" s="9"/>
      <c r="AE13" s="9"/>
      <c r="AF13" s="9"/>
      <c r="AG13" s="11">
        <v>0</v>
      </c>
      <c r="AH13" s="9"/>
      <c r="AI13" s="9"/>
      <c r="AJ13" s="9"/>
      <c r="AK13" s="9"/>
      <c r="AL13" s="9"/>
      <c r="AM13" s="11">
        <v>0</v>
      </c>
      <c r="AN13" s="9"/>
      <c r="AO13" s="9"/>
      <c r="AP13" s="9"/>
      <c r="AQ13" s="9"/>
      <c r="AR13" s="9"/>
      <c r="AS13" s="11">
        <v>-22.62</v>
      </c>
      <c r="AT13" s="9"/>
      <c r="AU13" s="9"/>
      <c r="AV13" s="9"/>
      <c r="AW13" s="9"/>
      <c r="AX13" s="9"/>
      <c r="AY13" s="11">
        <v>0</v>
      </c>
      <c r="AZ13" s="9"/>
      <c r="BA13" s="9"/>
      <c r="BB13" s="9"/>
      <c r="BC13" s="9"/>
      <c r="BD13" s="9"/>
      <c r="BE13" s="11">
        <v>0</v>
      </c>
      <c r="BF13" s="9"/>
      <c r="BG13" s="9"/>
      <c r="BH13" s="9"/>
      <c r="BI13" s="9"/>
      <c r="BJ13" s="9"/>
      <c r="BK13" s="11">
        <v>0</v>
      </c>
      <c r="BL13" s="9"/>
      <c r="BM13" s="9"/>
      <c r="BN13" s="9"/>
      <c r="BO13" s="9"/>
      <c r="BP13" s="9"/>
      <c r="BQ13" s="11">
        <v>0</v>
      </c>
      <c r="BR13" s="9"/>
      <c r="BS13" s="9"/>
      <c r="BT13" s="9"/>
      <c r="BU13" s="9"/>
      <c r="BV13" s="9"/>
      <c r="BW13" s="11">
        <v>0</v>
      </c>
      <c r="BX13" s="9"/>
      <c r="BY13" s="9"/>
      <c r="BZ13" s="9"/>
      <c r="CA13" s="9"/>
      <c r="CB13" s="9"/>
      <c r="CC13" s="11">
        <v>0</v>
      </c>
      <c r="CD13" s="9"/>
      <c r="CE13" s="9"/>
      <c r="CF13" s="9"/>
      <c r="CG13" s="9"/>
      <c r="CH13" s="9"/>
      <c r="CI13" s="11">
        <v>0</v>
      </c>
      <c r="CJ13" s="9"/>
      <c r="CK13" s="9"/>
      <c r="CL13" s="9"/>
      <c r="CM13" s="9"/>
      <c r="CN13" s="9"/>
      <c r="CO13" s="11">
        <v>0</v>
      </c>
      <c r="CP13" s="9"/>
      <c r="CQ13" s="9"/>
      <c r="CR13" s="9"/>
      <c r="CS13" s="9"/>
      <c r="CT13" s="9"/>
      <c r="CU13" s="11">
        <v>0</v>
      </c>
      <c r="CV13" s="9"/>
      <c r="CW13" s="9"/>
      <c r="CX13" s="9"/>
      <c r="CY13" s="9"/>
      <c r="CZ13" s="9"/>
      <c r="DA13" s="11">
        <v>0</v>
      </c>
      <c r="DB13" s="9"/>
      <c r="DC13" s="9"/>
      <c r="DD13" s="9"/>
      <c r="DE13" s="9"/>
      <c r="DF13" s="9"/>
      <c r="DG13" s="11">
        <v>0</v>
      </c>
      <c r="DH13" s="9"/>
      <c r="DI13" s="9"/>
      <c r="DJ13" s="9"/>
      <c r="DK13" s="9"/>
      <c r="DL13" s="9"/>
      <c r="DM13" s="11">
        <v>0</v>
      </c>
      <c r="DN13" s="9"/>
      <c r="DO13" s="9"/>
      <c r="DP13" s="9"/>
      <c r="DQ13" s="9"/>
      <c r="DR13" s="9"/>
      <c r="DS13" s="11">
        <v>0</v>
      </c>
      <c r="DT13" s="9"/>
      <c r="DU13" s="9"/>
      <c r="DV13" s="9"/>
      <c r="DW13" s="9"/>
      <c r="DX13" s="9"/>
      <c r="DY13" s="11">
        <v>0</v>
      </c>
      <c r="DZ13" s="9"/>
      <c r="EA13" s="9"/>
      <c r="EB13" s="9"/>
      <c r="EC13" s="9"/>
      <c r="ED13" s="9"/>
      <c r="EE13" s="11" cm="1">
        <f t="array" ref="EE13">ROUND(I13+O13+U13+AA13+AG13+AM13+AS13+AY13+BE13+BK13+BQ13+BW13+CC13+CI13+CO13+CU13+DA13+DG13+DM13+DS13+DY13,5)</f>
        <v>-22.62</v>
      </c>
    </row>
    <row r="14" ht="15" customHeight="1">
      <c r="A14" s="2"/>
      <c r="B14" s="2"/>
      <c r="C14" s="2"/>
      <c r="D14" t="s" s="2">
        <v>36</v>
      </c>
      <c r="E14" s="9"/>
      <c r="F14" s="9"/>
      <c r="G14" s="9"/>
      <c r="H14" s="9"/>
      <c r="I14" s="11">
        <v>0</v>
      </c>
      <c r="J14" s="9"/>
      <c r="K14" s="9"/>
      <c r="L14" s="9"/>
      <c r="M14" s="9"/>
      <c r="N14" s="9"/>
      <c r="O14" s="11">
        <v>0</v>
      </c>
      <c r="P14" s="9"/>
      <c r="Q14" s="9"/>
      <c r="R14" s="9"/>
      <c r="S14" s="9"/>
      <c r="T14" s="9"/>
      <c r="U14" s="11">
        <v>0</v>
      </c>
      <c r="V14" s="9"/>
      <c r="W14" s="9"/>
      <c r="X14" s="9"/>
      <c r="Y14" s="9"/>
      <c r="Z14" s="9"/>
      <c r="AA14" s="11">
        <v>0</v>
      </c>
      <c r="AB14" s="9"/>
      <c r="AC14" s="9"/>
      <c r="AD14" s="9"/>
      <c r="AE14" s="9"/>
      <c r="AF14" s="9"/>
      <c r="AG14" s="11">
        <v>0</v>
      </c>
      <c r="AH14" s="9"/>
      <c r="AI14" s="9"/>
      <c r="AJ14" s="9"/>
      <c r="AK14" s="9"/>
      <c r="AL14" s="9"/>
      <c r="AM14" s="11">
        <v>0</v>
      </c>
      <c r="AN14" s="9"/>
      <c r="AO14" s="9"/>
      <c r="AP14" s="9"/>
      <c r="AQ14" s="9"/>
      <c r="AR14" s="9"/>
      <c r="AS14" s="11">
        <v>0</v>
      </c>
      <c r="AT14" s="9"/>
      <c r="AU14" s="9"/>
      <c r="AV14" s="9"/>
      <c r="AW14" s="9"/>
      <c r="AX14" s="9"/>
      <c r="AY14" s="11">
        <v>0</v>
      </c>
      <c r="AZ14" s="9"/>
      <c r="BA14" s="9"/>
      <c r="BB14" s="9"/>
      <c r="BC14" s="9"/>
      <c r="BD14" s="9"/>
      <c r="BE14" s="11">
        <v>0</v>
      </c>
      <c r="BF14" s="9"/>
      <c r="BG14" s="9"/>
      <c r="BH14" s="9"/>
      <c r="BI14" s="9"/>
      <c r="BJ14" s="9"/>
      <c r="BK14" s="11">
        <v>0</v>
      </c>
      <c r="BL14" s="9"/>
      <c r="BM14" s="9"/>
      <c r="BN14" s="9"/>
      <c r="BO14" s="9"/>
      <c r="BP14" s="9"/>
      <c r="BQ14" s="11">
        <v>-500</v>
      </c>
      <c r="BR14" s="9"/>
      <c r="BS14" s="9"/>
      <c r="BT14" s="9"/>
      <c r="BU14" s="9"/>
      <c r="BV14" s="9"/>
      <c r="BW14" s="11">
        <v>0</v>
      </c>
      <c r="BX14" s="9"/>
      <c r="BY14" s="9"/>
      <c r="BZ14" s="9"/>
      <c r="CA14" s="9"/>
      <c r="CB14" s="9"/>
      <c r="CC14" s="11">
        <v>0</v>
      </c>
      <c r="CD14" s="9"/>
      <c r="CE14" s="9"/>
      <c r="CF14" s="9"/>
      <c r="CG14" s="9"/>
      <c r="CH14" s="9"/>
      <c r="CI14" s="11">
        <v>0</v>
      </c>
      <c r="CJ14" s="9"/>
      <c r="CK14" s="9"/>
      <c r="CL14" s="9"/>
      <c r="CM14" s="9"/>
      <c r="CN14" s="9"/>
      <c r="CO14" s="11">
        <v>0</v>
      </c>
      <c r="CP14" s="9"/>
      <c r="CQ14" s="9"/>
      <c r="CR14" s="9"/>
      <c r="CS14" s="9"/>
      <c r="CT14" s="9"/>
      <c r="CU14" s="11">
        <v>0</v>
      </c>
      <c r="CV14" s="9"/>
      <c r="CW14" s="9"/>
      <c r="CX14" s="9"/>
      <c r="CY14" s="9"/>
      <c r="CZ14" s="9"/>
      <c r="DA14" s="11">
        <v>0</v>
      </c>
      <c r="DB14" s="9"/>
      <c r="DC14" s="9"/>
      <c r="DD14" s="9"/>
      <c r="DE14" s="9"/>
      <c r="DF14" s="9"/>
      <c r="DG14" s="11">
        <v>0</v>
      </c>
      <c r="DH14" s="9"/>
      <c r="DI14" s="9"/>
      <c r="DJ14" s="9"/>
      <c r="DK14" s="9"/>
      <c r="DL14" s="9"/>
      <c r="DM14" s="11">
        <v>0</v>
      </c>
      <c r="DN14" s="9"/>
      <c r="DO14" s="9"/>
      <c r="DP14" s="9"/>
      <c r="DQ14" s="9"/>
      <c r="DR14" s="9"/>
      <c r="DS14" s="11">
        <v>0</v>
      </c>
      <c r="DT14" s="9"/>
      <c r="DU14" s="9"/>
      <c r="DV14" s="9"/>
      <c r="DW14" s="9"/>
      <c r="DX14" s="9"/>
      <c r="DY14" s="11">
        <v>0</v>
      </c>
      <c r="DZ14" s="9"/>
      <c r="EA14" s="9"/>
      <c r="EB14" s="9"/>
      <c r="EC14" s="9"/>
      <c r="ED14" s="9"/>
      <c r="EE14" s="11" cm="1">
        <f t="array" ref="EE14">ROUND(I14+O14+U14+AA14+AG14+AM14+AS14+AY14+BE14+BK14+BQ14+BW14+CC14+CI14+CO14+CU14+DA14+DG14+DM14+DS14+DY14,5)</f>
        <v>-500</v>
      </c>
    </row>
    <row r="15" ht="15.75" customHeight="1">
      <c r="A15" s="2"/>
      <c r="B15" s="2"/>
      <c r="C15" s="2"/>
      <c r="D15" t="s" s="2">
        <v>37</v>
      </c>
      <c r="E15" s="9"/>
      <c r="F15" s="9"/>
      <c r="G15" s="9"/>
      <c r="H15" s="9"/>
      <c r="I15" s="12">
        <v>-99.63</v>
      </c>
      <c r="J15" s="9"/>
      <c r="K15" s="9"/>
      <c r="L15" s="9"/>
      <c r="M15" s="9"/>
      <c r="N15" s="9"/>
      <c r="O15" s="12">
        <v>0</v>
      </c>
      <c r="P15" s="9"/>
      <c r="Q15" s="9"/>
      <c r="R15" s="9"/>
      <c r="S15" s="9"/>
      <c r="T15" s="9"/>
      <c r="U15" s="12">
        <v>-308.58</v>
      </c>
      <c r="V15" s="9"/>
      <c r="W15" s="9"/>
      <c r="X15" s="9"/>
      <c r="Y15" s="9"/>
      <c r="Z15" s="9"/>
      <c r="AA15" s="12">
        <v>0</v>
      </c>
      <c r="AB15" s="9"/>
      <c r="AC15" s="9"/>
      <c r="AD15" s="9"/>
      <c r="AE15" s="9"/>
      <c r="AF15" s="9"/>
      <c r="AG15" s="12">
        <v>-15.42</v>
      </c>
      <c r="AH15" s="9"/>
      <c r="AI15" s="9"/>
      <c r="AJ15" s="9"/>
      <c r="AK15" s="9"/>
      <c r="AL15" s="9"/>
      <c r="AM15" s="12">
        <v>-129.74</v>
      </c>
      <c r="AN15" s="9"/>
      <c r="AO15" s="9"/>
      <c r="AP15" s="9"/>
      <c r="AQ15" s="9"/>
      <c r="AR15" s="9"/>
      <c r="AS15" s="12">
        <v>0</v>
      </c>
      <c r="AT15" s="9"/>
      <c r="AU15" s="9"/>
      <c r="AV15" s="9"/>
      <c r="AW15" s="9"/>
      <c r="AX15" s="9"/>
      <c r="AY15" s="12">
        <v>0</v>
      </c>
      <c r="AZ15" s="9"/>
      <c r="BA15" s="9"/>
      <c r="BB15" s="9"/>
      <c r="BC15" s="9"/>
      <c r="BD15" s="9"/>
      <c r="BE15" s="12">
        <v>0</v>
      </c>
      <c r="BF15" s="9"/>
      <c r="BG15" s="9"/>
      <c r="BH15" s="9"/>
      <c r="BI15" s="9"/>
      <c r="BJ15" s="9"/>
      <c r="BK15" s="12">
        <v>0</v>
      </c>
      <c r="BL15" s="9"/>
      <c r="BM15" s="9"/>
      <c r="BN15" s="9"/>
      <c r="BO15" s="9"/>
      <c r="BP15" s="9"/>
      <c r="BQ15" s="12">
        <v>-776.8</v>
      </c>
      <c r="BR15" s="9"/>
      <c r="BS15" s="9"/>
      <c r="BT15" s="9"/>
      <c r="BU15" s="9"/>
      <c r="BV15" s="9"/>
      <c r="BW15" s="12">
        <v>-428.71</v>
      </c>
      <c r="BX15" s="9"/>
      <c r="BY15" s="9"/>
      <c r="BZ15" s="9"/>
      <c r="CA15" s="9"/>
      <c r="CB15" s="9"/>
      <c r="CC15" s="12">
        <v>-555.85</v>
      </c>
      <c r="CD15" s="9"/>
      <c r="CE15" s="9"/>
      <c r="CF15" s="9"/>
      <c r="CG15" s="9"/>
      <c r="CH15" s="9"/>
      <c r="CI15" s="12">
        <v>-435.91</v>
      </c>
      <c r="CJ15" s="9"/>
      <c r="CK15" s="9"/>
      <c r="CL15" s="9"/>
      <c r="CM15" s="9"/>
      <c r="CN15" s="9"/>
      <c r="CO15" s="12">
        <v>0</v>
      </c>
      <c r="CP15" s="9"/>
      <c r="CQ15" s="9"/>
      <c r="CR15" s="9"/>
      <c r="CS15" s="9"/>
      <c r="CT15" s="9"/>
      <c r="CU15" s="12">
        <v>-59.21</v>
      </c>
      <c r="CV15" s="9"/>
      <c r="CW15" s="9"/>
      <c r="CX15" s="9"/>
      <c r="CY15" s="9"/>
      <c r="CZ15" s="9"/>
      <c r="DA15" s="12">
        <v>-375.76</v>
      </c>
      <c r="DB15" s="9"/>
      <c r="DC15" s="9"/>
      <c r="DD15" s="9"/>
      <c r="DE15" s="9"/>
      <c r="DF15" s="9"/>
      <c r="DG15" s="12">
        <v>0</v>
      </c>
      <c r="DH15" s="9"/>
      <c r="DI15" s="9"/>
      <c r="DJ15" s="9"/>
      <c r="DK15" s="9"/>
      <c r="DL15" s="9"/>
      <c r="DM15" s="12">
        <v>-474.13</v>
      </c>
      <c r="DN15" s="9"/>
      <c r="DO15" s="9"/>
      <c r="DP15" s="9"/>
      <c r="DQ15" s="9"/>
      <c r="DR15" s="9"/>
      <c r="DS15" s="12">
        <v>0</v>
      </c>
      <c r="DT15" s="9"/>
      <c r="DU15" s="9"/>
      <c r="DV15" s="9"/>
      <c r="DW15" s="9"/>
      <c r="DX15" s="9"/>
      <c r="DY15" s="12">
        <v>-510.5</v>
      </c>
      <c r="DZ15" s="9"/>
      <c r="EA15" s="9"/>
      <c r="EB15" s="9"/>
      <c r="EC15" s="9"/>
      <c r="ED15" s="9"/>
      <c r="EE15" s="12" cm="1">
        <f t="array" ref="EE15">ROUND(I15+O15+U15+AA15+AG15+AM15+AS15+AY15+BE15+BK15+BQ15+BW15+CC15+CI15+CO15+CU15+DA15+DG15+DM15+DS15+DY15,5)</f>
        <v>-4170.24</v>
      </c>
    </row>
    <row r="16" ht="15.75" customHeight="1">
      <c r="A16" s="2"/>
      <c r="B16" s="2"/>
      <c r="C16" t="s" s="2">
        <v>38</v>
      </c>
      <c r="D16" s="2"/>
      <c r="E16" s="9"/>
      <c r="F16" s="9"/>
      <c r="G16" s="9"/>
      <c r="H16" s="9"/>
      <c r="I16" s="14" cm="1">
        <f t="array" ref="I16">ROUND(SUM(I12:I15),5)</f>
        <v>-99.63</v>
      </c>
      <c r="J16" s="9"/>
      <c r="K16" s="9"/>
      <c r="L16" s="9"/>
      <c r="M16" s="9"/>
      <c r="N16" s="9"/>
      <c r="O16" s="14" cm="1">
        <f t="array" ref="O16">ROUND(SUM(O12:O15),5)</f>
        <v>0</v>
      </c>
      <c r="P16" s="9"/>
      <c r="Q16" s="9"/>
      <c r="R16" s="9"/>
      <c r="S16" s="9"/>
      <c r="T16" s="9"/>
      <c r="U16" s="14" cm="1">
        <f t="array" ref="U16">ROUND(SUM(U12:U15),5)</f>
        <v>-308.58</v>
      </c>
      <c r="V16" s="9"/>
      <c r="W16" s="9"/>
      <c r="X16" s="9"/>
      <c r="Y16" s="9"/>
      <c r="Z16" s="9"/>
      <c r="AA16" s="14" cm="1">
        <f t="array" ref="AA16">ROUND(SUM(AA12:AA15),5)</f>
        <v>0</v>
      </c>
      <c r="AB16" s="9"/>
      <c r="AC16" s="9"/>
      <c r="AD16" s="9"/>
      <c r="AE16" s="9"/>
      <c r="AF16" s="9"/>
      <c r="AG16" s="14" cm="1">
        <f t="array" ref="AG16">ROUND(SUM(AG12:AG15),5)</f>
        <v>-15.42</v>
      </c>
      <c r="AH16" s="9"/>
      <c r="AI16" s="9"/>
      <c r="AJ16" s="9"/>
      <c r="AK16" s="9"/>
      <c r="AL16" s="9"/>
      <c r="AM16" s="14" cm="1">
        <f t="array" ref="AM16">ROUND(SUM(AM12:AM15),5)</f>
        <v>-129.74</v>
      </c>
      <c r="AN16" s="9"/>
      <c r="AO16" s="9"/>
      <c r="AP16" s="9"/>
      <c r="AQ16" s="9"/>
      <c r="AR16" s="9"/>
      <c r="AS16" s="14" cm="1">
        <f t="array" ref="AS16">ROUND(SUM(AS12:AS15),5)</f>
        <v>-22.62</v>
      </c>
      <c r="AT16" s="9"/>
      <c r="AU16" s="9"/>
      <c r="AV16" s="9"/>
      <c r="AW16" s="9"/>
      <c r="AX16" s="9"/>
      <c r="AY16" s="14" cm="1">
        <f t="array" ref="AY16">ROUND(SUM(AY12:AY15),5)</f>
        <v>0</v>
      </c>
      <c r="AZ16" s="9"/>
      <c r="BA16" s="9"/>
      <c r="BB16" s="9"/>
      <c r="BC16" s="9"/>
      <c r="BD16" s="9"/>
      <c r="BE16" s="14" cm="1">
        <f t="array" ref="BE16">ROUND(SUM(BE12:BE15),5)</f>
        <v>0</v>
      </c>
      <c r="BF16" s="9"/>
      <c r="BG16" s="9"/>
      <c r="BH16" s="9"/>
      <c r="BI16" s="9"/>
      <c r="BJ16" s="9"/>
      <c r="BK16" s="14" cm="1">
        <f t="array" ref="BK16">ROUND(SUM(BK12:BK15),5)</f>
        <v>0</v>
      </c>
      <c r="BL16" s="9"/>
      <c r="BM16" s="9"/>
      <c r="BN16" s="9"/>
      <c r="BO16" s="9"/>
      <c r="BP16" s="9"/>
      <c r="BQ16" s="14" cm="1">
        <f t="array" ref="BQ16">ROUND(SUM(BQ12:BQ15),5)</f>
        <v>-1276.8</v>
      </c>
      <c r="BR16" s="9"/>
      <c r="BS16" s="9"/>
      <c r="BT16" s="9"/>
      <c r="BU16" s="9"/>
      <c r="BV16" s="9"/>
      <c r="BW16" s="14" cm="1">
        <f t="array" ref="BW16">ROUND(SUM(BW12:BW15),5)</f>
        <v>-428.71</v>
      </c>
      <c r="BX16" s="9"/>
      <c r="BY16" s="9"/>
      <c r="BZ16" s="9"/>
      <c r="CA16" s="9"/>
      <c r="CB16" s="9"/>
      <c r="CC16" s="14" cm="1">
        <f t="array" ref="CC16">ROUND(SUM(CC12:CC15),5)</f>
        <v>-555.85</v>
      </c>
      <c r="CD16" s="9"/>
      <c r="CE16" s="9"/>
      <c r="CF16" s="9"/>
      <c r="CG16" s="9"/>
      <c r="CH16" s="9"/>
      <c r="CI16" s="14" cm="1">
        <f t="array" ref="CI16">ROUND(SUM(CI12:CI15),5)</f>
        <v>-435.91</v>
      </c>
      <c r="CJ16" s="9"/>
      <c r="CK16" s="9"/>
      <c r="CL16" s="9"/>
      <c r="CM16" s="9"/>
      <c r="CN16" s="9"/>
      <c r="CO16" s="14" cm="1">
        <f t="array" ref="CO16">ROUND(SUM(CO12:CO15),5)</f>
        <v>0</v>
      </c>
      <c r="CP16" s="9"/>
      <c r="CQ16" s="9"/>
      <c r="CR16" s="9"/>
      <c r="CS16" s="9"/>
      <c r="CT16" s="9"/>
      <c r="CU16" s="14" cm="1">
        <f t="array" ref="CU16">ROUND(SUM(CU12:CU15),5)</f>
        <v>-59.21</v>
      </c>
      <c r="CV16" s="9"/>
      <c r="CW16" s="9"/>
      <c r="CX16" s="9"/>
      <c r="CY16" s="9"/>
      <c r="CZ16" s="9"/>
      <c r="DA16" s="14" cm="1">
        <f t="array" ref="DA16">ROUND(SUM(DA12:DA15),5)</f>
        <v>-375.76</v>
      </c>
      <c r="DB16" s="9"/>
      <c r="DC16" s="9"/>
      <c r="DD16" s="9"/>
      <c r="DE16" s="9"/>
      <c r="DF16" s="9"/>
      <c r="DG16" s="14" cm="1">
        <f t="array" ref="DG16">ROUND(SUM(DG12:DG15),5)</f>
        <v>0</v>
      </c>
      <c r="DH16" s="9"/>
      <c r="DI16" s="9"/>
      <c r="DJ16" s="9"/>
      <c r="DK16" s="9"/>
      <c r="DL16" s="9"/>
      <c r="DM16" s="14" cm="1">
        <f t="array" ref="DM16">ROUND(SUM(DM12:DM15),5)</f>
        <v>-474.13</v>
      </c>
      <c r="DN16" s="9"/>
      <c r="DO16" s="9"/>
      <c r="DP16" s="9"/>
      <c r="DQ16" s="9"/>
      <c r="DR16" s="9"/>
      <c r="DS16" s="14" cm="1">
        <f t="array" ref="DS16">ROUND(SUM(DS12:DS15),5)</f>
        <v>0</v>
      </c>
      <c r="DT16" s="9"/>
      <c r="DU16" s="9"/>
      <c r="DV16" s="9"/>
      <c r="DW16" s="9"/>
      <c r="DX16" s="9"/>
      <c r="DY16" s="14" cm="1">
        <f t="array" ref="DY16">ROUND(SUM(DY12:DY15),5)</f>
        <v>-510.5</v>
      </c>
      <c r="DZ16" s="9"/>
      <c r="EA16" s="9"/>
      <c r="EB16" s="9"/>
      <c r="EC16" s="9"/>
      <c r="ED16" s="9"/>
      <c r="EE16" s="14" cm="1">
        <f t="array" ref="EE16">ROUND(I16+O16+U16+AA16+AG16+AM16+AS16+AY16+BE16+BK16+BQ16+BW16+CC16+CI16+CO16+CU16+DA16+DG16+DM16+DS16+DY16,5)</f>
        <v>-4692.86</v>
      </c>
    </row>
    <row r="17" ht="15" customHeight="1">
      <c r="A17" s="2"/>
      <c r="B17" t="s" s="2">
        <v>39</v>
      </c>
      <c r="C17" s="2"/>
      <c r="D17" s="2"/>
      <c r="E17" s="9"/>
      <c r="F17" s="9"/>
      <c r="G17" s="9"/>
      <c r="H17" s="9"/>
      <c r="I17" s="13" cm="1">
        <f t="array" ref="I17">ROUND(I11+I16,5)</f>
        <v>1857.29</v>
      </c>
      <c r="J17" s="9"/>
      <c r="K17" s="9"/>
      <c r="L17" s="9"/>
      <c r="M17" s="9"/>
      <c r="N17" s="9"/>
      <c r="O17" s="13" cm="1">
        <f t="array" ref="O17">ROUND(O11+O16,5)</f>
        <v>1538.46</v>
      </c>
      <c r="P17" s="9"/>
      <c r="Q17" s="9"/>
      <c r="R17" s="9"/>
      <c r="S17" s="9"/>
      <c r="T17" s="9"/>
      <c r="U17" s="13" cm="1">
        <f t="array" ref="U17">ROUND(U11+U16,5)</f>
        <v>1322.19</v>
      </c>
      <c r="V17" s="9"/>
      <c r="W17" s="9"/>
      <c r="X17" s="9"/>
      <c r="Y17" s="9"/>
      <c r="Z17" s="9"/>
      <c r="AA17" s="13" cm="1">
        <f t="array" ref="AA17">ROUND(AA11+AA16,5)</f>
        <v>1538.46</v>
      </c>
      <c r="AB17" s="9"/>
      <c r="AC17" s="9"/>
      <c r="AD17" s="9"/>
      <c r="AE17" s="9"/>
      <c r="AF17" s="9"/>
      <c r="AG17" s="13" cm="1">
        <f t="array" ref="AG17">ROUND(AG11+AG16,5)</f>
        <v>1544</v>
      </c>
      <c r="AH17" s="9"/>
      <c r="AI17" s="9"/>
      <c r="AJ17" s="9"/>
      <c r="AK17" s="9"/>
      <c r="AL17" s="9"/>
      <c r="AM17" s="13" cm="1">
        <f t="array" ref="AM17">ROUND(AM11+AM16,5)</f>
        <v>1908.72</v>
      </c>
      <c r="AN17" s="9"/>
      <c r="AO17" s="9"/>
      <c r="AP17" s="9"/>
      <c r="AQ17" s="9"/>
      <c r="AR17" s="9"/>
      <c r="AS17" s="13" cm="1">
        <f t="array" ref="AS17">ROUND(AS11+AS16,5)</f>
        <v>1612</v>
      </c>
      <c r="AT17" s="9"/>
      <c r="AU17" s="9"/>
      <c r="AV17" s="9"/>
      <c r="AW17" s="9"/>
      <c r="AX17" s="9"/>
      <c r="AY17" s="13" cm="1">
        <f t="array" ref="AY17">ROUND(AY11+AY16,5)</f>
        <v>1634.62</v>
      </c>
      <c r="AZ17" s="9"/>
      <c r="BA17" s="9"/>
      <c r="BB17" s="9"/>
      <c r="BC17" s="9"/>
      <c r="BD17" s="9"/>
      <c r="BE17" s="13" cm="1">
        <f t="array" ref="BE17">ROUND(BE11+BE16,5)</f>
        <v>1730.77</v>
      </c>
      <c r="BF17" s="9"/>
      <c r="BG17" s="9"/>
      <c r="BH17" s="9"/>
      <c r="BI17" s="9"/>
      <c r="BJ17" s="9"/>
      <c r="BK17" s="13" cm="1">
        <f t="array" ref="BK17">ROUND(BK11+BK16,5)</f>
        <v>1500</v>
      </c>
      <c r="BL17" s="9"/>
      <c r="BM17" s="9"/>
      <c r="BN17" s="9"/>
      <c r="BO17" s="9"/>
      <c r="BP17" s="9"/>
      <c r="BQ17" s="13" cm="1">
        <f t="array" ref="BQ17">ROUND(BQ11+BQ16,5)</f>
        <v>1903.2</v>
      </c>
      <c r="BR17" s="9"/>
      <c r="BS17" s="9"/>
      <c r="BT17" s="9"/>
      <c r="BU17" s="9"/>
      <c r="BV17" s="9"/>
      <c r="BW17" s="13" cm="1">
        <f t="array" ref="BW17">ROUND(BW11+BW16,5)</f>
        <v>3365.38</v>
      </c>
      <c r="BX17" s="9"/>
      <c r="BY17" s="9"/>
      <c r="BZ17" s="9"/>
      <c r="CA17" s="9"/>
      <c r="CB17" s="9"/>
      <c r="CC17" s="13" cm="1">
        <f t="array" ref="CC17">ROUND(CC11+CC16,5)</f>
        <v>4615.38</v>
      </c>
      <c r="CD17" s="9"/>
      <c r="CE17" s="9"/>
      <c r="CF17" s="9"/>
      <c r="CG17" s="9"/>
      <c r="CH17" s="9"/>
      <c r="CI17" s="13" cm="1">
        <f t="array" ref="CI17">ROUND(CI11+CI16,5)</f>
        <v>2177.36</v>
      </c>
      <c r="CJ17" s="9"/>
      <c r="CK17" s="9"/>
      <c r="CL17" s="9"/>
      <c r="CM17" s="9"/>
      <c r="CN17" s="9"/>
      <c r="CO17" s="13" cm="1">
        <f t="array" ref="CO17">ROUND(CO11+CO16,5)</f>
        <v>1926.35</v>
      </c>
      <c r="CP17" s="9"/>
      <c r="CQ17" s="9"/>
      <c r="CR17" s="9"/>
      <c r="CS17" s="9"/>
      <c r="CT17" s="9"/>
      <c r="CU17" s="13" cm="1">
        <f t="array" ref="CU17">ROUND(CU11+CU16,5)</f>
        <v>1390.87</v>
      </c>
      <c r="CV17" s="9"/>
      <c r="CW17" s="9"/>
      <c r="CX17" s="9"/>
      <c r="CY17" s="9"/>
      <c r="CZ17" s="9"/>
      <c r="DA17" s="13" cm="1">
        <f t="array" ref="DA17">ROUND(DA11+DA16,5)</f>
        <v>1835.78</v>
      </c>
      <c r="DB17" s="9"/>
      <c r="DC17" s="9"/>
      <c r="DD17" s="9"/>
      <c r="DE17" s="9"/>
      <c r="DF17" s="9"/>
      <c r="DG17" s="13" cm="1">
        <f t="array" ref="DG17">ROUND(DG11+DG16,5)</f>
        <v>1442.31</v>
      </c>
      <c r="DH17" s="9"/>
      <c r="DI17" s="9"/>
      <c r="DJ17" s="9"/>
      <c r="DK17" s="9"/>
      <c r="DL17" s="9"/>
      <c r="DM17" s="13" cm="1">
        <f t="array" ref="DM17">ROUND(DM11+DM16,5)</f>
        <v>1356.41</v>
      </c>
      <c r="DN17" s="9"/>
      <c r="DO17" s="9"/>
      <c r="DP17" s="9"/>
      <c r="DQ17" s="9"/>
      <c r="DR17" s="9"/>
      <c r="DS17" s="13" cm="1">
        <f t="array" ref="DS17">ROUND(DS11+DS16,5)</f>
        <v>1576.92</v>
      </c>
      <c r="DT17" s="9"/>
      <c r="DU17" s="9"/>
      <c r="DV17" s="9"/>
      <c r="DW17" s="9"/>
      <c r="DX17" s="9"/>
      <c r="DY17" s="13" cm="1">
        <f t="array" ref="DY17">ROUND(DY11+DY16,5)</f>
        <v>2019.23</v>
      </c>
      <c r="DZ17" s="9"/>
      <c r="EA17" s="9"/>
      <c r="EB17" s="9"/>
      <c r="EC17" s="9"/>
      <c r="ED17" s="9"/>
      <c r="EE17" s="13" cm="1">
        <f t="array" ref="EE17">ROUND(I17+O17+U17+AA17+AG17+AM17+AS17+AY17+BE17+BK17+BQ17+BW17+CC17+CI17+CO17+CU17+DA17+DG17+DM17+DS17+DY17,5)</f>
        <v>39795.7</v>
      </c>
    </row>
    <row r="18" ht="15" customHeight="1">
      <c r="A18" s="2"/>
      <c r="B18" t="s" s="2">
        <v>40</v>
      </c>
      <c r="C18" s="2"/>
      <c r="D18" s="2"/>
      <c r="E18" s="9"/>
      <c r="F18" s="9"/>
      <c r="G18" s="9"/>
      <c r="H18" s="9"/>
      <c r="I18" s="11"/>
      <c r="J18" s="9"/>
      <c r="K18" s="9"/>
      <c r="L18" s="9"/>
      <c r="M18" s="9"/>
      <c r="N18" s="9"/>
      <c r="O18" s="11"/>
      <c r="P18" s="9"/>
      <c r="Q18" s="9"/>
      <c r="R18" s="9"/>
      <c r="S18" s="9"/>
      <c r="T18" s="9"/>
      <c r="U18" s="11"/>
      <c r="V18" s="9"/>
      <c r="W18" s="9"/>
      <c r="X18" s="9"/>
      <c r="Y18" s="9"/>
      <c r="Z18" s="9"/>
      <c r="AA18" s="11"/>
      <c r="AB18" s="9"/>
      <c r="AC18" s="9"/>
      <c r="AD18" s="9"/>
      <c r="AE18" s="9"/>
      <c r="AF18" s="9"/>
      <c r="AG18" s="11"/>
      <c r="AH18" s="9"/>
      <c r="AI18" s="9"/>
      <c r="AJ18" s="9"/>
      <c r="AK18" s="9"/>
      <c r="AL18" s="9"/>
      <c r="AM18" s="11"/>
      <c r="AN18" s="9"/>
      <c r="AO18" s="9"/>
      <c r="AP18" s="9"/>
      <c r="AQ18" s="9"/>
      <c r="AR18" s="9"/>
      <c r="AS18" s="11"/>
      <c r="AT18" s="9"/>
      <c r="AU18" s="9"/>
      <c r="AV18" s="9"/>
      <c r="AW18" s="9"/>
      <c r="AX18" s="9"/>
      <c r="AY18" s="11"/>
      <c r="AZ18" s="9"/>
      <c r="BA18" s="9"/>
      <c r="BB18" s="9"/>
      <c r="BC18" s="9"/>
      <c r="BD18" s="9"/>
      <c r="BE18" s="11"/>
      <c r="BF18" s="9"/>
      <c r="BG18" s="9"/>
      <c r="BH18" s="9"/>
      <c r="BI18" s="9"/>
      <c r="BJ18" s="9"/>
      <c r="BK18" s="11"/>
      <c r="BL18" s="9"/>
      <c r="BM18" s="9"/>
      <c r="BN18" s="9"/>
      <c r="BO18" s="9"/>
      <c r="BP18" s="9"/>
      <c r="BQ18" s="11"/>
      <c r="BR18" s="9"/>
      <c r="BS18" s="9"/>
      <c r="BT18" s="9"/>
      <c r="BU18" s="9"/>
      <c r="BV18" s="9"/>
      <c r="BW18" s="11"/>
      <c r="BX18" s="9"/>
      <c r="BY18" s="9"/>
      <c r="BZ18" s="9"/>
      <c r="CA18" s="9"/>
      <c r="CB18" s="9"/>
      <c r="CC18" s="11"/>
      <c r="CD18" s="9"/>
      <c r="CE18" s="9"/>
      <c r="CF18" s="9"/>
      <c r="CG18" s="9"/>
      <c r="CH18" s="9"/>
      <c r="CI18" s="11"/>
      <c r="CJ18" s="9"/>
      <c r="CK18" s="9"/>
      <c r="CL18" s="9"/>
      <c r="CM18" s="9"/>
      <c r="CN18" s="9"/>
      <c r="CO18" s="11"/>
      <c r="CP18" s="9"/>
      <c r="CQ18" s="9"/>
      <c r="CR18" s="9"/>
      <c r="CS18" s="9"/>
      <c r="CT18" s="9"/>
      <c r="CU18" s="11"/>
      <c r="CV18" s="9"/>
      <c r="CW18" s="9"/>
      <c r="CX18" s="9"/>
      <c r="CY18" s="9"/>
      <c r="CZ18" s="9"/>
      <c r="DA18" s="11"/>
      <c r="DB18" s="9"/>
      <c r="DC18" s="9"/>
      <c r="DD18" s="9"/>
      <c r="DE18" s="9"/>
      <c r="DF18" s="9"/>
      <c r="DG18" s="11"/>
      <c r="DH18" s="9"/>
      <c r="DI18" s="9"/>
      <c r="DJ18" s="9"/>
      <c r="DK18" s="9"/>
      <c r="DL18" s="9"/>
      <c r="DM18" s="11"/>
      <c r="DN18" s="9"/>
      <c r="DO18" s="9"/>
      <c r="DP18" s="9"/>
      <c r="DQ18" s="9"/>
      <c r="DR18" s="9"/>
      <c r="DS18" s="11"/>
      <c r="DT18" s="9"/>
      <c r="DU18" s="9"/>
      <c r="DV18" s="9"/>
      <c r="DW18" s="9"/>
      <c r="DX18" s="9"/>
      <c r="DY18" s="11"/>
      <c r="DZ18" s="9"/>
      <c r="EA18" s="9"/>
      <c r="EB18" s="9"/>
      <c r="EC18" s="9"/>
      <c r="ED18" s="9"/>
      <c r="EE18" s="11"/>
    </row>
    <row r="19" ht="15" customHeight="1">
      <c r="A19" s="2"/>
      <c r="B19" s="2"/>
      <c r="C19" t="s" s="2">
        <v>41</v>
      </c>
      <c r="D19" s="2"/>
      <c r="E19" s="9"/>
      <c r="F19" s="9"/>
      <c r="G19" s="9"/>
      <c r="H19" s="9"/>
      <c r="I19" s="11">
        <v>-214</v>
      </c>
      <c r="J19" s="9"/>
      <c r="K19" s="9"/>
      <c r="L19" s="9"/>
      <c r="M19" s="9"/>
      <c r="N19" s="9"/>
      <c r="O19" s="11">
        <v>-24</v>
      </c>
      <c r="P19" s="9"/>
      <c r="Q19" s="9"/>
      <c r="R19" s="9"/>
      <c r="S19" s="9"/>
      <c r="T19" s="9"/>
      <c r="U19" s="11">
        <v>-29</v>
      </c>
      <c r="V19" s="9"/>
      <c r="W19" s="9"/>
      <c r="X19" s="9"/>
      <c r="Y19" s="9"/>
      <c r="Z19" s="9"/>
      <c r="AA19" s="11">
        <v>0</v>
      </c>
      <c r="AB19" s="9"/>
      <c r="AC19" s="9"/>
      <c r="AD19" s="9"/>
      <c r="AE19" s="9"/>
      <c r="AF19" s="9"/>
      <c r="AG19" s="11">
        <v>-187</v>
      </c>
      <c r="AH19" s="9"/>
      <c r="AI19" s="9"/>
      <c r="AJ19" s="9"/>
      <c r="AK19" s="9"/>
      <c r="AL19" s="9"/>
      <c r="AM19" s="11">
        <v>-57</v>
      </c>
      <c r="AN19" s="9"/>
      <c r="AO19" s="9"/>
      <c r="AP19" s="9"/>
      <c r="AQ19" s="9"/>
      <c r="AR19" s="9"/>
      <c r="AS19" s="11">
        <v>-75</v>
      </c>
      <c r="AT19" s="9"/>
      <c r="AU19" s="9"/>
      <c r="AV19" s="9"/>
      <c r="AW19" s="9"/>
      <c r="AX19" s="9"/>
      <c r="AY19" s="11">
        <v>0</v>
      </c>
      <c r="AZ19" s="9"/>
      <c r="BA19" s="9"/>
      <c r="BB19" s="9"/>
      <c r="BC19" s="9"/>
      <c r="BD19" s="9"/>
      <c r="BE19" s="11">
        <v>-249</v>
      </c>
      <c r="BF19" s="9"/>
      <c r="BG19" s="9"/>
      <c r="BH19" s="9"/>
      <c r="BI19" s="9"/>
      <c r="BJ19" s="9"/>
      <c r="BK19" s="11">
        <v>-126</v>
      </c>
      <c r="BL19" s="9"/>
      <c r="BM19" s="9"/>
      <c r="BN19" s="9"/>
      <c r="BO19" s="9"/>
      <c r="BP19" s="9"/>
      <c r="BQ19" s="11">
        <v>-313</v>
      </c>
      <c r="BR19" s="9"/>
      <c r="BS19" s="9"/>
      <c r="BT19" s="9"/>
      <c r="BU19" s="9"/>
      <c r="BV19" s="9"/>
      <c r="BW19" s="11">
        <v>-343</v>
      </c>
      <c r="BX19" s="9"/>
      <c r="BY19" s="9"/>
      <c r="BZ19" s="9"/>
      <c r="CA19" s="9"/>
      <c r="CB19" s="9"/>
      <c r="CC19" s="11">
        <v>-467</v>
      </c>
      <c r="CD19" s="9"/>
      <c r="CE19" s="9"/>
      <c r="CF19" s="9"/>
      <c r="CG19" s="9"/>
      <c r="CH19" s="9"/>
      <c r="CI19" s="11">
        <v>-134</v>
      </c>
      <c r="CJ19" s="9"/>
      <c r="CK19" s="9"/>
      <c r="CL19" s="9"/>
      <c r="CM19" s="9"/>
      <c r="CN19" s="9"/>
      <c r="CO19" s="11">
        <v>-134</v>
      </c>
      <c r="CP19" s="9"/>
      <c r="CQ19" s="9"/>
      <c r="CR19" s="9"/>
      <c r="CS19" s="9"/>
      <c r="CT19" s="9"/>
      <c r="CU19" s="11">
        <v>-73</v>
      </c>
      <c r="CV19" s="9"/>
      <c r="CW19" s="9"/>
      <c r="CX19" s="9"/>
      <c r="CY19" s="9"/>
      <c r="CZ19" s="9"/>
      <c r="DA19" s="11">
        <v>-88</v>
      </c>
      <c r="DB19" s="9"/>
      <c r="DC19" s="9"/>
      <c r="DD19" s="9"/>
      <c r="DE19" s="9"/>
      <c r="DF19" s="9"/>
      <c r="DG19" s="11">
        <v>0</v>
      </c>
      <c r="DH19" s="9"/>
      <c r="DI19" s="9"/>
      <c r="DJ19" s="9"/>
      <c r="DK19" s="9"/>
      <c r="DL19" s="9"/>
      <c r="DM19" s="11">
        <v>-90</v>
      </c>
      <c r="DN19" s="9"/>
      <c r="DO19" s="9"/>
      <c r="DP19" s="9"/>
      <c r="DQ19" s="9"/>
      <c r="DR19" s="9"/>
      <c r="DS19" s="11">
        <v>-214</v>
      </c>
      <c r="DT19" s="9"/>
      <c r="DU19" s="9"/>
      <c r="DV19" s="9"/>
      <c r="DW19" s="9"/>
      <c r="DX19" s="9"/>
      <c r="DY19" s="11">
        <v>-20.19</v>
      </c>
      <c r="DZ19" s="9"/>
      <c r="EA19" s="9"/>
      <c r="EB19" s="9"/>
      <c r="EC19" s="9"/>
      <c r="ED19" s="9"/>
      <c r="EE19" s="11" cm="1">
        <f t="array" ref="EE19">ROUND(I19+O19+U19+AA19+AG19+AM19+AS19+AY19+BE19+BK19+BQ19+BW19+CC19+CI19+CO19+CU19+DA19+DG19+DM19+DS19+DY19,5)</f>
        <v>-2837.19</v>
      </c>
    </row>
    <row r="20" ht="15" customHeight="1">
      <c r="A20" s="2"/>
      <c r="B20" s="2"/>
      <c r="C20" t="s" s="2">
        <v>42</v>
      </c>
      <c r="D20" s="2"/>
      <c r="E20" s="9"/>
      <c r="F20" s="9"/>
      <c r="G20" s="9"/>
      <c r="H20" s="9"/>
      <c r="I20" s="11">
        <v>-25.33</v>
      </c>
      <c r="J20" s="9"/>
      <c r="K20" s="9"/>
      <c r="L20" s="9"/>
      <c r="M20" s="9"/>
      <c r="N20" s="9"/>
      <c r="O20" s="11">
        <v>-22.31</v>
      </c>
      <c r="P20" s="9"/>
      <c r="Q20" s="9"/>
      <c r="R20" s="9"/>
      <c r="S20" s="9"/>
      <c r="T20" s="9"/>
      <c r="U20" s="11">
        <v>-17.84</v>
      </c>
      <c r="V20" s="9"/>
      <c r="W20" s="9"/>
      <c r="X20" s="9"/>
      <c r="Y20" s="9"/>
      <c r="Z20" s="9"/>
      <c r="AA20" s="11">
        <v>-22.31</v>
      </c>
      <c r="AB20" s="9"/>
      <c r="AC20" s="9"/>
      <c r="AD20" s="9"/>
      <c r="AE20" s="9"/>
      <c r="AF20" s="9"/>
      <c r="AG20" s="11">
        <v>-21.11</v>
      </c>
      <c r="AH20" s="9"/>
      <c r="AI20" s="9"/>
      <c r="AJ20" s="9"/>
      <c r="AK20" s="9"/>
      <c r="AL20" s="9"/>
      <c r="AM20" s="11">
        <v>-29.26</v>
      </c>
      <c r="AN20" s="9"/>
      <c r="AO20" s="9"/>
      <c r="AP20" s="9"/>
      <c r="AQ20" s="9"/>
      <c r="AR20" s="9"/>
      <c r="AS20" s="11">
        <v>-25.09</v>
      </c>
      <c r="AT20" s="9"/>
      <c r="AU20" s="9"/>
      <c r="AV20" s="9"/>
      <c r="AW20" s="9"/>
      <c r="AX20" s="9"/>
      <c r="AY20" s="11">
        <v>-23.7</v>
      </c>
      <c r="AZ20" s="9"/>
      <c r="BA20" s="9"/>
      <c r="BB20" s="9"/>
      <c r="BC20" s="9"/>
      <c r="BD20" s="9"/>
      <c r="BE20" s="11">
        <v>-25.09</v>
      </c>
      <c r="BF20" s="9"/>
      <c r="BG20" s="9"/>
      <c r="BH20" s="9"/>
      <c r="BI20" s="9"/>
      <c r="BJ20" s="9"/>
      <c r="BK20" s="11">
        <v>-21.75</v>
      </c>
      <c r="BL20" s="9"/>
      <c r="BM20" s="9"/>
      <c r="BN20" s="9"/>
      <c r="BO20" s="9"/>
      <c r="BP20" s="9"/>
      <c r="BQ20" s="11">
        <v>-32.24</v>
      </c>
      <c r="BR20" s="9"/>
      <c r="BS20" s="9"/>
      <c r="BT20" s="9"/>
      <c r="BU20" s="9"/>
      <c r="BV20" s="9"/>
      <c r="BW20" s="11">
        <v>-42.58</v>
      </c>
      <c r="BX20" s="9"/>
      <c r="BY20" s="9"/>
      <c r="BZ20" s="9"/>
      <c r="CA20" s="9"/>
      <c r="CB20" s="9"/>
      <c r="CC20" s="11">
        <v>-58.87</v>
      </c>
      <c r="CD20" s="9"/>
      <c r="CE20" s="9"/>
      <c r="CF20" s="9"/>
      <c r="CG20" s="9"/>
      <c r="CH20" s="9"/>
      <c r="CI20" s="11">
        <v>-25.05</v>
      </c>
      <c r="CJ20" s="9"/>
      <c r="CK20" s="9"/>
      <c r="CL20" s="9"/>
      <c r="CM20" s="9"/>
      <c r="CN20" s="9"/>
      <c r="CO20" s="11">
        <v>-26.35</v>
      </c>
      <c r="CP20" s="9"/>
      <c r="CQ20" s="9"/>
      <c r="CR20" s="9"/>
      <c r="CS20" s="9"/>
      <c r="CT20" s="9"/>
      <c r="CU20" s="11">
        <v>-18.97</v>
      </c>
      <c r="CV20" s="9"/>
      <c r="CW20" s="9"/>
      <c r="CX20" s="9"/>
      <c r="CY20" s="9"/>
      <c r="CZ20" s="9"/>
      <c r="DA20" s="11">
        <v>-26.62</v>
      </c>
      <c r="DB20" s="9"/>
      <c r="DC20" s="9"/>
      <c r="DD20" s="9"/>
      <c r="DE20" s="9"/>
      <c r="DF20" s="9"/>
      <c r="DG20" s="11">
        <v>-20.91</v>
      </c>
      <c r="DH20" s="9"/>
      <c r="DI20" s="9"/>
      <c r="DJ20" s="9"/>
      <c r="DK20" s="9"/>
      <c r="DL20" s="9"/>
      <c r="DM20" s="11">
        <v>-15.99</v>
      </c>
      <c r="DN20" s="9"/>
      <c r="DO20" s="9"/>
      <c r="DP20" s="9"/>
      <c r="DQ20" s="9"/>
      <c r="DR20" s="9"/>
      <c r="DS20" s="11">
        <v>-22.86</v>
      </c>
      <c r="DT20" s="9"/>
      <c r="DU20" s="9"/>
      <c r="DV20" s="9"/>
      <c r="DW20" s="9"/>
      <c r="DX20" s="9"/>
      <c r="DY20" s="11">
        <v>-29.27</v>
      </c>
      <c r="DZ20" s="9"/>
      <c r="EA20" s="9"/>
      <c r="EB20" s="9"/>
      <c r="EC20" s="9"/>
      <c r="ED20" s="9"/>
      <c r="EE20" s="11" cm="1">
        <f t="array" ref="EE20">ROUND(I20+O20+U20+AA20+AG20+AM20+AS20+AY20+BE20+BK20+BQ20+BW20+CC20+CI20+CO20+CU20+DA20+DG20+DM20+DS20+DY20,5)</f>
        <v>-553.5</v>
      </c>
    </row>
    <row r="21" ht="15" customHeight="1">
      <c r="A21" s="2"/>
      <c r="B21" s="2"/>
      <c r="C21" t="s" s="2">
        <v>43</v>
      </c>
      <c r="D21" s="2"/>
      <c r="E21" s="9"/>
      <c r="F21" s="9"/>
      <c r="G21" s="9"/>
      <c r="H21" s="9"/>
      <c r="I21" s="11">
        <v>-108.29</v>
      </c>
      <c r="J21" s="9"/>
      <c r="K21" s="9"/>
      <c r="L21" s="9"/>
      <c r="M21" s="9"/>
      <c r="N21" s="9"/>
      <c r="O21" s="11">
        <v>-95.39</v>
      </c>
      <c r="P21" s="9"/>
      <c r="Q21" s="9"/>
      <c r="R21" s="9"/>
      <c r="S21" s="9"/>
      <c r="T21" s="9"/>
      <c r="U21" s="11">
        <v>-76.26000000000001</v>
      </c>
      <c r="V21" s="9"/>
      <c r="W21" s="9"/>
      <c r="X21" s="9"/>
      <c r="Y21" s="9"/>
      <c r="Z21" s="9"/>
      <c r="AA21" s="11">
        <v>-95.39</v>
      </c>
      <c r="AB21" s="9"/>
      <c r="AC21" s="9"/>
      <c r="AD21" s="9"/>
      <c r="AE21" s="9"/>
      <c r="AF21" s="9"/>
      <c r="AG21" s="11">
        <v>-90.25</v>
      </c>
      <c r="AH21" s="9"/>
      <c r="AI21" s="9"/>
      <c r="AJ21" s="9"/>
      <c r="AK21" s="9"/>
      <c r="AL21" s="9"/>
      <c r="AM21" s="11">
        <v>-125.1</v>
      </c>
      <c r="AN21" s="9"/>
      <c r="AO21" s="9"/>
      <c r="AP21" s="9"/>
      <c r="AQ21" s="9"/>
      <c r="AR21" s="9"/>
      <c r="AS21" s="11">
        <v>-107.31</v>
      </c>
      <c r="AT21" s="9"/>
      <c r="AU21" s="9"/>
      <c r="AV21" s="9"/>
      <c r="AW21" s="9"/>
      <c r="AX21" s="9"/>
      <c r="AY21" s="11">
        <v>-101.34</v>
      </c>
      <c r="AZ21" s="9"/>
      <c r="BA21" s="9"/>
      <c r="BB21" s="9"/>
      <c r="BC21" s="9"/>
      <c r="BD21" s="9"/>
      <c r="BE21" s="11">
        <v>-107.31</v>
      </c>
      <c r="BF21" s="9"/>
      <c r="BG21" s="9"/>
      <c r="BH21" s="9"/>
      <c r="BI21" s="9"/>
      <c r="BJ21" s="9"/>
      <c r="BK21" s="11">
        <v>-93</v>
      </c>
      <c r="BL21" s="9"/>
      <c r="BM21" s="9"/>
      <c r="BN21" s="9"/>
      <c r="BO21" s="9"/>
      <c r="BP21" s="9"/>
      <c r="BQ21" s="11">
        <v>-137.84</v>
      </c>
      <c r="BR21" s="9"/>
      <c r="BS21" s="9"/>
      <c r="BT21" s="9"/>
      <c r="BU21" s="9"/>
      <c r="BV21" s="9"/>
      <c r="BW21" s="11">
        <v>-182.08</v>
      </c>
      <c r="BX21" s="9"/>
      <c r="BY21" s="9"/>
      <c r="BZ21" s="9"/>
      <c r="CA21" s="9"/>
      <c r="CB21" s="9"/>
      <c r="CC21" s="11">
        <v>-251.69</v>
      </c>
      <c r="CD21" s="9"/>
      <c r="CE21" s="9"/>
      <c r="CF21" s="9"/>
      <c r="CG21" s="9"/>
      <c r="CH21" s="9"/>
      <c r="CI21" s="11">
        <v>-107.11</v>
      </c>
      <c r="CJ21" s="9"/>
      <c r="CK21" s="9"/>
      <c r="CL21" s="9"/>
      <c r="CM21" s="9"/>
      <c r="CN21" s="9"/>
      <c r="CO21" s="11">
        <v>-112.68</v>
      </c>
      <c r="CP21" s="9"/>
      <c r="CQ21" s="9"/>
      <c r="CR21" s="9"/>
      <c r="CS21" s="9"/>
      <c r="CT21" s="9"/>
      <c r="CU21" s="11">
        <v>-81.15000000000001</v>
      </c>
      <c r="CV21" s="9"/>
      <c r="CW21" s="9"/>
      <c r="CX21" s="9"/>
      <c r="CY21" s="9"/>
      <c r="CZ21" s="9"/>
      <c r="DA21" s="11">
        <v>-113.82</v>
      </c>
      <c r="DB21" s="9"/>
      <c r="DC21" s="9"/>
      <c r="DD21" s="9"/>
      <c r="DE21" s="9"/>
      <c r="DF21" s="9"/>
      <c r="DG21" s="11">
        <v>-89.42</v>
      </c>
      <c r="DH21" s="9"/>
      <c r="DI21" s="9"/>
      <c r="DJ21" s="9"/>
      <c r="DK21" s="9"/>
      <c r="DL21" s="9"/>
      <c r="DM21" s="11">
        <v>-68.38</v>
      </c>
      <c r="DN21" s="9"/>
      <c r="DO21" s="9"/>
      <c r="DP21" s="9"/>
      <c r="DQ21" s="9"/>
      <c r="DR21" s="9"/>
      <c r="DS21" s="11">
        <v>-97.77</v>
      </c>
      <c r="DT21" s="9"/>
      <c r="DU21" s="9"/>
      <c r="DV21" s="9"/>
      <c r="DW21" s="9"/>
      <c r="DX21" s="9"/>
      <c r="DY21" s="11">
        <v>-125.19</v>
      </c>
      <c r="DZ21" s="9"/>
      <c r="EA21" s="9"/>
      <c r="EB21" s="9"/>
      <c r="EC21" s="9"/>
      <c r="ED21" s="9"/>
      <c r="EE21" s="11" cm="1">
        <f t="array" ref="EE21">ROUND(I21+O21+U21+AA21+AG21+AM21+AS21+AY21+BE21+BK21+BQ21+BW21+CC21+CI21+CO21+CU21+DA21+DG21+DM21+DS21+DY21,5)</f>
        <v>-2366.77</v>
      </c>
    </row>
    <row r="22" ht="15" customHeight="1">
      <c r="A22" s="2"/>
      <c r="B22" s="2"/>
      <c r="C22" t="s" s="2">
        <v>44</v>
      </c>
      <c r="D22" s="2"/>
      <c r="E22" s="9"/>
      <c r="F22" s="9"/>
      <c r="G22" s="9"/>
      <c r="H22" s="9"/>
      <c r="I22" s="11">
        <v>-92.11</v>
      </c>
      <c r="J22" s="9"/>
      <c r="K22" s="9"/>
      <c r="L22" s="9"/>
      <c r="M22" s="9"/>
      <c r="N22" s="9"/>
      <c r="O22" s="11">
        <v>-24.65</v>
      </c>
      <c r="P22" s="9"/>
      <c r="Q22" s="9"/>
      <c r="R22" s="9"/>
      <c r="S22" s="9"/>
      <c r="T22" s="9"/>
      <c r="U22" s="11">
        <v>-36.76</v>
      </c>
      <c r="V22" s="9"/>
      <c r="W22" s="9"/>
      <c r="X22" s="9"/>
      <c r="Y22" s="9"/>
      <c r="Z22" s="9"/>
      <c r="AA22" s="11">
        <v>-18.18</v>
      </c>
      <c r="AB22" s="9"/>
      <c r="AC22" s="9"/>
      <c r="AD22" s="9"/>
      <c r="AE22" s="9"/>
      <c r="AF22" s="9"/>
      <c r="AG22" s="11">
        <v>-63.11</v>
      </c>
      <c r="AH22" s="9"/>
      <c r="AI22" s="9"/>
      <c r="AJ22" s="9"/>
      <c r="AK22" s="9"/>
      <c r="AL22" s="9"/>
      <c r="AM22" s="11">
        <v>-74.69</v>
      </c>
      <c r="AN22" s="9"/>
      <c r="AO22" s="9"/>
      <c r="AP22" s="9"/>
      <c r="AQ22" s="9"/>
      <c r="AR22" s="9"/>
      <c r="AS22" s="11">
        <v>0</v>
      </c>
      <c r="AT22" s="9"/>
      <c r="AU22" s="9"/>
      <c r="AV22" s="9"/>
      <c r="AW22" s="9"/>
      <c r="AX22" s="9"/>
      <c r="AY22" s="11">
        <v>-80.66</v>
      </c>
      <c r="AZ22" s="9"/>
      <c r="BA22" s="9"/>
      <c r="BB22" s="9"/>
      <c r="BC22" s="9"/>
      <c r="BD22" s="9"/>
      <c r="BE22" s="11">
        <v>-75</v>
      </c>
      <c r="BF22" s="9"/>
      <c r="BG22" s="9"/>
      <c r="BH22" s="9"/>
      <c r="BI22" s="9"/>
      <c r="BJ22" s="9"/>
      <c r="BK22" s="11">
        <v>-67.01000000000001</v>
      </c>
      <c r="BL22" s="9"/>
      <c r="BM22" s="9"/>
      <c r="BN22" s="9"/>
      <c r="BO22" s="9"/>
      <c r="BP22" s="9"/>
      <c r="BQ22" s="11">
        <v>-127.5</v>
      </c>
      <c r="BR22" s="9"/>
      <c r="BS22" s="9"/>
      <c r="BT22" s="9"/>
      <c r="BU22" s="9"/>
      <c r="BV22" s="9"/>
      <c r="BW22" s="11">
        <v>-210.62</v>
      </c>
      <c r="BX22" s="9"/>
      <c r="BY22" s="9"/>
      <c r="BZ22" s="9"/>
      <c r="CA22" s="9"/>
      <c r="CB22" s="9"/>
      <c r="CC22" s="11">
        <v>0</v>
      </c>
      <c r="CD22" s="9"/>
      <c r="CE22" s="9"/>
      <c r="CF22" s="9"/>
      <c r="CG22" s="9"/>
      <c r="CH22" s="9"/>
      <c r="CI22" s="11">
        <v>-32.97</v>
      </c>
      <c r="CJ22" s="9"/>
      <c r="CK22" s="9"/>
      <c r="CL22" s="9"/>
      <c r="CM22" s="9"/>
      <c r="CN22" s="9"/>
      <c r="CO22" s="11">
        <v>-37</v>
      </c>
      <c r="CP22" s="9"/>
      <c r="CQ22" s="9"/>
      <c r="CR22" s="9"/>
      <c r="CS22" s="9"/>
      <c r="CT22" s="9"/>
      <c r="CU22" s="11">
        <v>-25.85</v>
      </c>
      <c r="CV22" s="9"/>
      <c r="CW22" s="9"/>
      <c r="CX22" s="9"/>
      <c r="CY22" s="9"/>
      <c r="CZ22" s="9"/>
      <c r="DA22" s="11">
        <v>-53.93</v>
      </c>
      <c r="DB22" s="9"/>
      <c r="DC22" s="9"/>
      <c r="DD22" s="9"/>
      <c r="DE22" s="9"/>
      <c r="DF22" s="9"/>
      <c r="DG22" s="11">
        <v>-58.69</v>
      </c>
      <c r="DH22" s="9"/>
      <c r="DI22" s="9"/>
      <c r="DJ22" s="9"/>
      <c r="DK22" s="9"/>
      <c r="DL22" s="9"/>
      <c r="DM22" s="11">
        <v>-34.55</v>
      </c>
      <c r="DN22" s="9"/>
      <c r="DO22" s="9"/>
      <c r="DP22" s="9"/>
      <c r="DQ22" s="9"/>
      <c r="DR22" s="9"/>
      <c r="DS22" s="11">
        <v>-37.65</v>
      </c>
      <c r="DT22" s="9"/>
      <c r="DU22" s="9"/>
      <c r="DV22" s="9"/>
      <c r="DW22" s="9"/>
      <c r="DX22" s="9"/>
      <c r="DY22" s="11">
        <v>-39.57</v>
      </c>
      <c r="DZ22" s="9"/>
      <c r="EA22" s="9"/>
      <c r="EB22" s="9"/>
      <c r="EC22" s="9"/>
      <c r="ED22" s="9"/>
      <c r="EE22" s="11" cm="1">
        <f t="array" ref="EE22">ROUND(I22+O22+U22+AA22+AG22+AM22+AS22+AY22+BE22+BK22+BQ22+BW22+CC22+CI22+CO22+CU22+DA22+DG22+DM22+DS22+DY22,5)</f>
        <v>-1190.5</v>
      </c>
    </row>
    <row r="23" ht="15" customHeight="1">
      <c r="A23" s="2"/>
      <c r="B23" s="2"/>
      <c r="C23" t="s" s="2">
        <v>45</v>
      </c>
      <c r="D23" s="2"/>
      <c r="E23" s="9"/>
      <c r="F23" s="9"/>
      <c r="G23" s="9"/>
      <c r="H23" s="9"/>
      <c r="I23" s="11">
        <v>-22.71</v>
      </c>
      <c r="J23" s="9"/>
      <c r="K23" s="9"/>
      <c r="L23" s="9"/>
      <c r="M23" s="9"/>
      <c r="N23" s="9"/>
      <c r="O23" s="11">
        <v>-20</v>
      </c>
      <c r="P23" s="9"/>
      <c r="Q23" s="9"/>
      <c r="R23" s="9"/>
      <c r="S23" s="9"/>
      <c r="T23" s="9"/>
      <c r="U23" s="11">
        <v>-15.99</v>
      </c>
      <c r="V23" s="9"/>
      <c r="W23" s="9"/>
      <c r="X23" s="9"/>
      <c r="Y23" s="9"/>
      <c r="Z23" s="9"/>
      <c r="AA23" s="11">
        <v>-20</v>
      </c>
      <c r="AB23" s="9"/>
      <c r="AC23" s="9"/>
      <c r="AD23" s="9"/>
      <c r="AE23" s="9"/>
      <c r="AF23" s="9"/>
      <c r="AG23" s="11">
        <v>-18.93</v>
      </c>
      <c r="AH23" s="9"/>
      <c r="AI23" s="9"/>
      <c r="AJ23" s="9"/>
      <c r="AK23" s="9"/>
      <c r="AL23" s="9"/>
      <c r="AM23" s="11">
        <v>-26.23</v>
      </c>
      <c r="AN23" s="9"/>
      <c r="AO23" s="9"/>
      <c r="AP23" s="9"/>
      <c r="AQ23" s="9"/>
      <c r="AR23" s="9"/>
      <c r="AS23" s="11">
        <v>-22.5</v>
      </c>
      <c r="AT23" s="9"/>
      <c r="AU23" s="9"/>
      <c r="AV23" s="9"/>
      <c r="AW23" s="9"/>
      <c r="AX23" s="9"/>
      <c r="AY23" s="11">
        <v>-21.25</v>
      </c>
      <c r="AZ23" s="9"/>
      <c r="BA23" s="9"/>
      <c r="BB23" s="9"/>
      <c r="BC23" s="9"/>
      <c r="BD23" s="9"/>
      <c r="BE23" s="11">
        <v>-22.5</v>
      </c>
      <c r="BF23" s="9"/>
      <c r="BG23" s="9"/>
      <c r="BH23" s="9"/>
      <c r="BI23" s="9"/>
      <c r="BJ23" s="9"/>
      <c r="BK23" s="11">
        <v>-19.5</v>
      </c>
      <c r="BL23" s="9"/>
      <c r="BM23" s="9"/>
      <c r="BN23" s="9"/>
      <c r="BO23" s="9"/>
      <c r="BP23" s="9"/>
      <c r="BQ23" s="11">
        <v>-28.9</v>
      </c>
      <c r="BR23" s="9"/>
      <c r="BS23" s="9"/>
      <c r="BT23" s="9"/>
      <c r="BU23" s="9"/>
      <c r="BV23" s="9"/>
      <c r="BW23" s="11">
        <v>-38.17</v>
      </c>
      <c r="BX23" s="9"/>
      <c r="BY23" s="9"/>
      <c r="BZ23" s="9"/>
      <c r="CA23" s="9"/>
      <c r="CB23" s="9"/>
      <c r="CC23" s="11">
        <v>-52.78</v>
      </c>
      <c r="CD23" s="9"/>
      <c r="CE23" s="9"/>
      <c r="CF23" s="9"/>
      <c r="CG23" s="9"/>
      <c r="CH23" s="9"/>
      <c r="CI23" s="11">
        <v>-22.46</v>
      </c>
      <c r="CJ23" s="9"/>
      <c r="CK23" s="9"/>
      <c r="CL23" s="9"/>
      <c r="CM23" s="9"/>
      <c r="CN23" s="9"/>
      <c r="CO23" s="11">
        <v>-23.62</v>
      </c>
      <c r="CP23" s="9"/>
      <c r="CQ23" s="9"/>
      <c r="CR23" s="9"/>
      <c r="CS23" s="9"/>
      <c r="CT23" s="9"/>
      <c r="CU23" s="11">
        <v>-17.02</v>
      </c>
      <c r="CV23" s="9"/>
      <c r="CW23" s="9"/>
      <c r="CX23" s="9"/>
      <c r="CY23" s="9"/>
      <c r="CZ23" s="9"/>
      <c r="DA23" s="11">
        <v>-23.86</v>
      </c>
      <c r="DB23" s="9"/>
      <c r="DC23" s="9"/>
      <c r="DD23" s="9"/>
      <c r="DE23" s="9"/>
      <c r="DF23" s="9"/>
      <c r="DG23" s="11">
        <v>-18.75</v>
      </c>
      <c r="DH23" s="9"/>
      <c r="DI23" s="9"/>
      <c r="DJ23" s="9"/>
      <c r="DK23" s="9"/>
      <c r="DL23" s="9"/>
      <c r="DM23" s="11">
        <v>-14.33</v>
      </c>
      <c r="DN23" s="9"/>
      <c r="DO23" s="9"/>
      <c r="DP23" s="9"/>
      <c r="DQ23" s="9"/>
      <c r="DR23" s="9"/>
      <c r="DS23" s="11">
        <v>-20.5</v>
      </c>
      <c r="DT23" s="9"/>
      <c r="DU23" s="9"/>
      <c r="DV23" s="9"/>
      <c r="DW23" s="9"/>
      <c r="DX23" s="9"/>
      <c r="DY23" s="11">
        <v>-20.19</v>
      </c>
      <c r="DZ23" s="9"/>
      <c r="EA23" s="9"/>
      <c r="EB23" s="9"/>
      <c r="EC23" s="9"/>
      <c r="ED23" s="9"/>
      <c r="EE23" s="11" cm="1">
        <f t="array" ref="EE23">ROUND(I23+O23+U23+AA23+AG23+AM23+AS23+AY23+BE23+BK23+BQ23+BW23+CC23+CI23+CO23+CU23+DA23+DG23+DM23+DS23+DY23,5)</f>
        <v>-490.19</v>
      </c>
    </row>
    <row r="24" ht="15.75" customHeight="1">
      <c r="A24" s="2"/>
      <c r="B24" s="2"/>
      <c r="C24" t="s" s="2">
        <v>46</v>
      </c>
      <c r="D24" s="2"/>
      <c r="E24" s="9"/>
      <c r="F24" s="9"/>
      <c r="G24" s="9"/>
      <c r="H24" s="9"/>
      <c r="I24" s="12">
        <v>0</v>
      </c>
      <c r="J24" s="9"/>
      <c r="K24" s="9"/>
      <c r="L24" s="9"/>
      <c r="M24" s="9"/>
      <c r="N24" s="9"/>
      <c r="O24" s="12">
        <v>0</v>
      </c>
      <c r="P24" s="9"/>
      <c r="Q24" s="9"/>
      <c r="R24" s="9"/>
      <c r="S24" s="9"/>
      <c r="T24" s="9"/>
      <c r="U24" s="12">
        <v>0</v>
      </c>
      <c r="V24" s="9"/>
      <c r="W24" s="9"/>
      <c r="X24" s="9"/>
      <c r="Y24" s="9"/>
      <c r="Z24" s="9"/>
      <c r="AA24" s="12">
        <v>0</v>
      </c>
      <c r="AB24" s="9"/>
      <c r="AC24" s="9"/>
      <c r="AD24" s="9"/>
      <c r="AE24" s="9"/>
      <c r="AF24" s="9"/>
      <c r="AG24" s="12">
        <v>0</v>
      </c>
      <c r="AH24" s="9"/>
      <c r="AI24" s="9"/>
      <c r="AJ24" s="9"/>
      <c r="AK24" s="9"/>
      <c r="AL24" s="9"/>
      <c r="AM24" s="12">
        <v>0</v>
      </c>
      <c r="AN24" s="9"/>
      <c r="AO24" s="9"/>
      <c r="AP24" s="9"/>
      <c r="AQ24" s="9"/>
      <c r="AR24" s="9"/>
      <c r="AS24" s="12">
        <v>0</v>
      </c>
      <c r="AT24" s="9"/>
      <c r="AU24" s="9"/>
      <c r="AV24" s="9"/>
      <c r="AW24" s="9"/>
      <c r="AX24" s="9"/>
      <c r="AY24" s="12">
        <v>0</v>
      </c>
      <c r="AZ24" s="9"/>
      <c r="BA24" s="9"/>
      <c r="BB24" s="9"/>
      <c r="BC24" s="9"/>
      <c r="BD24" s="9"/>
      <c r="BE24" s="12">
        <v>0</v>
      </c>
      <c r="BF24" s="9"/>
      <c r="BG24" s="9"/>
      <c r="BH24" s="9"/>
      <c r="BI24" s="9"/>
      <c r="BJ24" s="9"/>
      <c r="BK24" s="12">
        <v>0</v>
      </c>
      <c r="BL24" s="9"/>
      <c r="BM24" s="9"/>
      <c r="BN24" s="9"/>
      <c r="BO24" s="9"/>
      <c r="BP24" s="9"/>
      <c r="BQ24" s="12">
        <v>0</v>
      </c>
      <c r="BR24" s="9"/>
      <c r="BS24" s="9"/>
      <c r="BT24" s="9"/>
      <c r="BU24" s="9"/>
      <c r="BV24" s="9"/>
      <c r="BW24" s="12">
        <v>0</v>
      </c>
      <c r="BX24" s="9"/>
      <c r="BY24" s="9"/>
      <c r="BZ24" s="9"/>
      <c r="CA24" s="9"/>
      <c r="CB24" s="9"/>
      <c r="CC24" s="12">
        <v>0</v>
      </c>
      <c r="CD24" s="9"/>
      <c r="CE24" s="9"/>
      <c r="CF24" s="9"/>
      <c r="CG24" s="9"/>
      <c r="CH24" s="9"/>
      <c r="CI24" s="12">
        <v>0</v>
      </c>
      <c r="CJ24" s="9"/>
      <c r="CK24" s="9"/>
      <c r="CL24" s="9"/>
      <c r="CM24" s="9"/>
      <c r="CN24" s="9"/>
      <c r="CO24" s="12">
        <v>0</v>
      </c>
      <c r="CP24" s="9"/>
      <c r="CQ24" s="9"/>
      <c r="CR24" s="9"/>
      <c r="CS24" s="9"/>
      <c r="CT24" s="9"/>
      <c r="CU24" s="12">
        <v>0</v>
      </c>
      <c r="CV24" s="9"/>
      <c r="CW24" s="9"/>
      <c r="CX24" s="9"/>
      <c r="CY24" s="9"/>
      <c r="CZ24" s="9"/>
      <c r="DA24" s="12">
        <v>0</v>
      </c>
      <c r="DB24" s="9"/>
      <c r="DC24" s="9"/>
      <c r="DD24" s="9"/>
      <c r="DE24" s="9"/>
      <c r="DF24" s="9"/>
      <c r="DG24" s="12">
        <v>0</v>
      </c>
      <c r="DH24" s="9"/>
      <c r="DI24" s="9"/>
      <c r="DJ24" s="9"/>
      <c r="DK24" s="9"/>
      <c r="DL24" s="9"/>
      <c r="DM24" s="12">
        <v>0</v>
      </c>
      <c r="DN24" s="9"/>
      <c r="DO24" s="9"/>
      <c r="DP24" s="9"/>
      <c r="DQ24" s="9"/>
      <c r="DR24" s="9"/>
      <c r="DS24" s="12">
        <v>0</v>
      </c>
      <c r="DT24" s="9"/>
      <c r="DU24" s="9"/>
      <c r="DV24" s="9"/>
      <c r="DW24" s="9"/>
      <c r="DX24" s="9"/>
      <c r="DY24" s="12">
        <v>0</v>
      </c>
      <c r="DZ24" s="9"/>
      <c r="EA24" s="9"/>
      <c r="EB24" s="9"/>
      <c r="EC24" s="9"/>
      <c r="ED24" s="9"/>
      <c r="EE24" s="12" cm="1">
        <f t="array" ref="EE24">ROUND(I24+O24+U24+AA24+AG24+AM24+AS24+AY24+BE24+BK24+BQ24+BW24+CC24+CI24+CO24+CU24+DA24+DG24+DM24+DS24+DY24,5)</f>
        <v>0</v>
      </c>
    </row>
    <row r="25" ht="15" customHeight="1">
      <c r="A25" s="2"/>
      <c r="B25" t="s" s="2">
        <v>47</v>
      </c>
      <c r="C25" s="2"/>
      <c r="D25" s="2"/>
      <c r="E25" s="9"/>
      <c r="F25" s="9"/>
      <c r="G25" s="9"/>
      <c r="H25" s="9"/>
      <c r="I25" s="13" cm="1">
        <f t="array" ref="I25">ROUND(SUM(I18:I24),5)</f>
        <v>-462.44</v>
      </c>
      <c r="J25" s="9"/>
      <c r="K25" s="9"/>
      <c r="L25" s="9"/>
      <c r="M25" s="9"/>
      <c r="N25" s="9"/>
      <c r="O25" s="13" cm="1">
        <f t="array" ref="O25">ROUND(SUM(O18:O24),5)</f>
        <v>-186.35</v>
      </c>
      <c r="P25" s="9"/>
      <c r="Q25" s="9"/>
      <c r="R25" s="9"/>
      <c r="S25" s="9"/>
      <c r="T25" s="9"/>
      <c r="U25" s="13" cm="1">
        <f t="array" ref="U25">ROUND(SUM(U18:U24),5)</f>
        <v>-175.85</v>
      </c>
      <c r="V25" s="9"/>
      <c r="W25" s="9"/>
      <c r="X25" s="9"/>
      <c r="Y25" s="9"/>
      <c r="Z25" s="9"/>
      <c r="AA25" s="13" cm="1">
        <f t="array" ref="AA25">ROUND(SUM(AA18:AA24),5)</f>
        <v>-155.88</v>
      </c>
      <c r="AB25" s="9"/>
      <c r="AC25" s="9"/>
      <c r="AD25" s="9"/>
      <c r="AE25" s="9"/>
      <c r="AF25" s="9"/>
      <c r="AG25" s="13" cm="1">
        <f t="array" ref="AG25">ROUND(SUM(AG18:AG24),5)</f>
        <v>-380.4</v>
      </c>
      <c r="AH25" s="9"/>
      <c r="AI25" s="9"/>
      <c r="AJ25" s="9"/>
      <c r="AK25" s="9"/>
      <c r="AL25" s="9"/>
      <c r="AM25" s="13" cm="1">
        <f t="array" ref="AM25">ROUND(SUM(AM18:AM24),5)</f>
        <v>-312.28</v>
      </c>
      <c r="AN25" s="9"/>
      <c r="AO25" s="9"/>
      <c r="AP25" s="9"/>
      <c r="AQ25" s="9"/>
      <c r="AR25" s="9"/>
      <c r="AS25" s="13" cm="1">
        <f t="array" ref="AS25">ROUND(SUM(AS18:AS24),5)</f>
        <v>-229.9</v>
      </c>
      <c r="AT25" s="9"/>
      <c r="AU25" s="9"/>
      <c r="AV25" s="9"/>
      <c r="AW25" s="9"/>
      <c r="AX25" s="9"/>
      <c r="AY25" s="13" cm="1">
        <f t="array" ref="AY25">ROUND(SUM(AY18:AY24),5)</f>
        <v>-226.95</v>
      </c>
      <c r="AZ25" s="9"/>
      <c r="BA25" s="9"/>
      <c r="BB25" s="9"/>
      <c r="BC25" s="9"/>
      <c r="BD25" s="9"/>
      <c r="BE25" s="13" cm="1">
        <f t="array" ref="BE25">ROUND(SUM(BE18:BE24),5)</f>
        <v>-478.9</v>
      </c>
      <c r="BF25" s="9"/>
      <c r="BG25" s="9"/>
      <c r="BH25" s="9"/>
      <c r="BI25" s="9"/>
      <c r="BJ25" s="9"/>
      <c r="BK25" s="13" cm="1">
        <f t="array" ref="BK25">ROUND(SUM(BK18:BK24),5)</f>
        <v>-327.26</v>
      </c>
      <c r="BL25" s="9"/>
      <c r="BM25" s="9"/>
      <c r="BN25" s="9"/>
      <c r="BO25" s="9"/>
      <c r="BP25" s="9"/>
      <c r="BQ25" s="13" cm="1">
        <f t="array" ref="BQ25">ROUND(SUM(BQ18:BQ24),5)</f>
        <v>-639.48</v>
      </c>
      <c r="BR25" s="9"/>
      <c r="BS25" s="9"/>
      <c r="BT25" s="9"/>
      <c r="BU25" s="9"/>
      <c r="BV25" s="9"/>
      <c r="BW25" s="13" cm="1">
        <f t="array" ref="BW25">ROUND(SUM(BW18:BW24),5)</f>
        <v>-816.45</v>
      </c>
      <c r="BX25" s="9"/>
      <c r="BY25" s="9"/>
      <c r="BZ25" s="9"/>
      <c r="CA25" s="9"/>
      <c r="CB25" s="9"/>
      <c r="CC25" s="13" cm="1">
        <f t="array" ref="CC25">ROUND(SUM(CC18:CC24),5)</f>
        <v>-830.34</v>
      </c>
      <c r="CD25" s="9"/>
      <c r="CE25" s="9"/>
      <c r="CF25" s="9"/>
      <c r="CG25" s="9"/>
      <c r="CH25" s="9"/>
      <c r="CI25" s="13" cm="1">
        <f t="array" ref="CI25">ROUND(SUM(CI18:CI24),5)</f>
        <v>-321.59</v>
      </c>
      <c r="CJ25" s="9"/>
      <c r="CK25" s="9"/>
      <c r="CL25" s="9"/>
      <c r="CM25" s="9"/>
      <c r="CN25" s="9"/>
      <c r="CO25" s="13" cm="1">
        <f t="array" ref="CO25">ROUND(SUM(CO18:CO24),5)</f>
        <v>-333.65</v>
      </c>
      <c r="CP25" s="9"/>
      <c r="CQ25" s="9"/>
      <c r="CR25" s="9"/>
      <c r="CS25" s="9"/>
      <c r="CT25" s="9"/>
      <c r="CU25" s="13" cm="1">
        <f t="array" ref="CU25">ROUND(SUM(CU18:CU24),5)</f>
        <v>-215.99</v>
      </c>
      <c r="CV25" s="9"/>
      <c r="CW25" s="9"/>
      <c r="CX25" s="9"/>
      <c r="CY25" s="9"/>
      <c r="CZ25" s="9"/>
      <c r="DA25" s="13" cm="1">
        <f t="array" ref="DA25">ROUND(SUM(DA18:DA24),5)</f>
        <v>-306.23</v>
      </c>
      <c r="DB25" s="9"/>
      <c r="DC25" s="9"/>
      <c r="DD25" s="9"/>
      <c r="DE25" s="9"/>
      <c r="DF25" s="9"/>
      <c r="DG25" s="13" cm="1">
        <f t="array" ref="DG25">ROUND(SUM(DG18:DG24),5)</f>
        <v>-187.77</v>
      </c>
      <c r="DH25" s="9"/>
      <c r="DI25" s="9"/>
      <c r="DJ25" s="9"/>
      <c r="DK25" s="9"/>
      <c r="DL25" s="9"/>
      <c r="DM25" s="13" cm="1">
        <f t="array" ref="DM25">ROUND(SUM(DM18:DM24),5)</f>
        <v>-223.25</v>
      </c>
      <c r="DN25" s="9"/>
      <c r="DO25" s="9"/>
      <c r="DP25" s="9"/>
      <c r="DQ25" s="9"/>
      <c r="DR25" s="9"/>
      <c r="DS25" s="13" cm="1">
        <f t="array" ref="DS25">ROUND(SUM(DS18:DS24),5)</f>
        <v>-392.78</v>
      </c>
      <c r="DT25" s="9"/>
      <c r="DU25" s="9"/>
      <c r="DV25" s="9"/>
      <c r="DW25" s="9"/>
      <c r="DX25" s="9"/>
      <c r="DY25" s="13" cm="1">
        <f t="array" ref="DY25">ROUND(SUM(DY18:DY24),5)</f>
        <v>-234.41</v>
      </c>
      <c r="DZ25" s="9"/>
      <c r="EA25" s="9"/>
      <c r="EB25" s="9"/>
      <c r="EC25" s="9"/>
      <c r="ED25" s="9"/>
      <c r="EE25" s="13" cm="1">
        <f t="array" ref="EE25">ROUND(I25+O25+U25+AA25+AG25+AM25+AS25+AY25+BE25+BK25+BQ25+BW25+CC25+CI25+CO25+CU25+DA25+DG25+DM25+DS25+DY25,5)</f>
        <v>-7438.15</v>
      </c>
    </row>
    <row r="26" ht="15" customHeight="1">
      <c r="A26" s="2"/>
      <c r="B26" t="s" s="2">
        <v>48</v>
      </c>
      <c r="C26" s="2"/>
      <c r="D26" s="2"/>
      <c r="E26" s="9"/>
      <c r="F26" s="9"/>
      <c r="G26" s="9"/>
      <c r="H26" s="9"/>
      <c r="I26" s="11"/>
      <c r="J26" s="9"/>
      <c r="K26" s="9"/>
      <c r="L26" s="9"/>
      <c r="M26" s="9"/>
      <c r="N26" s="9"/>
      <c r="O26" s="11"/>
      <c r="P26" s="9"/>
      <c r="Q26" s="9"/>
      <c r="R26" s="9"/>
      <c r="S26" s="9"/>
      <c r="T26" s="9"/>
      <c r="U26" s="11"/>
      <c r="V26" s="9"/>
      <c r="W26" s="9"/>
      <c r="X26" s="9"/>
      <c r="Y26" s="9"/>
      <c r="Z26" s="9"/>
      <c r="AA26" s="11"/>
      <c r="AB26" s="9"/>
      <c r="AC26" s="9"/>
      <c r="AD26" s="9"/>
      <c r="AE26" s="9"/>
      <c r="AF26" s="9"/>
      <c r="AG26" s="11"/>
      <c r="AH26" s="9"/>
      <c r="AI26" s="9"/>
      <c r="AJ26" s="9"/>
      <c r="AK26" s="9"/>
      <c r="AL26" s="9"/>
      <c r="AM26" s="11"/>
      <c r="AN26" s="9"/>
      <c r="AO26" s="9"/>
      <c r="AP26" s="9"/>
      <c r="AQ26" s="9"/>
      <c r="AR26" s="9"/>
      <c r="AS26" s="11"/>
      <c r="AT26" s="9"/>
      <c r="AU26" s="9"/>
      <c r="AV26" s="9"/>
      <c r="AW26" s="9"/>
      <c r="AX26" s="9"/>
      <c r="AY26" s="11"/>
      <c r="AZ26" s="9"/>
      <c r="BA26" s="9"/>
      <c r="BB26" s="9"/>
      <c r="BC26" s="9"/>
      <c r="BD26" s="9"/>
      <c r="BE26" s="11"/>
      <c r="BF26" s="9"/>
      <c r="BG26" s="9"/>
      <c r="BH26" s="9"/>
      <c r="BI26" s="9"/>
      <c r="BJ26" s="9"/>
      <c r="BK26" s="11"/>
      <c r="BL26" s="9"/>
      <c r="BM26" s="9"/>
      <c r="BN26" s="9"/>
      <c r="BO26" s="9"/>
      <c r="BP26" s="9"/>
      <c r="BQ26" s="11"/>
      <c r="BR26" s="9"/>
      <c r="BS26" s="9"/>
      <c r="BT26" s="9"/>
      <c r="BU26" s="9"/>
      <c r="BV26" s="9"/>
      <c r="BW26" s="11"/>
      <c r="BX26" s="9"/>
      <c r="BY26" s="9"/>
      <c r="BZ26" s="9"/>
      <c r="CA26" s="9"/>
      <c r="CB26" s="9"/>
      <c r="CC26" s="11"/>
      <c r="CD26" s="9"/>
      <c r="CE26" s="9"/>
      <c r="CF26" s="9"/>
      <c r="CG26" s="9"/>
      <c r="CH26" s="9"/>
      <c r="CI26" s="11"/>
      <c r="CJ26" s="9"/>
      <c r="CK26" s="9"/>
      <c r="CL26" s="9"/>
      <c r="CM26" s="9"/>
      <c r="CN26" s="9"/>
      <c r="CO26" s="11"/>
      <c r="CP26" s="9"/>
      <c r="CQ26" s="9"/>
      <c r="CR26" s="9"/>
      <c r="CS26" s="9"/>
      <c r="CT26" s="9"/>
      <c r="CU26" s="11"/>
      <c r="CV26" s="9"/>
      <c r="CW26" s="9"/>
      <c r="CX26" s="9"/>
      <c r="CY26" s="9"/>
      <c r="CZ26" s="9"/>
      <c r="DA26" s="11"/>
      <c r="DB26" s="9"/>
      <c r="DC26" s="9"/>
      <c r="DD26" s="9"/>
      <c r="DE26" s="9"/>
      <c r="DF26" s="9"/>
      <c r="DG26" s="11"/>
      <c r="DH26" s="9"/>
      <c r="DI26" s="9"/>
      <c r="DJ26" s="9"/>
      <c r="DK26" s="9"/>
      <c r="DL26" s="9"/>
      <c r="DM26" s="11"/>
      <c r="DN26" s="9"/>
      <c r="DO26" s="9"/>
      <c r="DP26" s="9"/>
      <c r="DQ26" s="9"/>
      <c r="DR26" s="9"/>
      <c r="DS26" s="11"/>
      <c r="DT26" s="9"/>
      <c r="DU26" s="9"/>
      <c r="DV26" s="9"/>
      <c r="DW26" s="9"/>
      <c r="DX26" s="9"/>
      <c r="DY26" s="11"/>
      <c r="DZ26" s="9"/>
      <c r="EA26" s="9"/>
      <c r="EB26" s="9"/>
      <c r="EC26" s="9"/>
      <c r="ED26" s="9"/>
      <c r="EE26" s="11"/>
    </row>
    <row r="27" ht="15.75" customHeight="1">
      <c r="A27" s="2"/>
      <c r="B27" s="2"/>
      <c r="C27" t="s" s="2">
        <v>49</v>
      </c>
      <c r="D27" s="2"/>
      <c r="E27" s="9"/>
      <c r="F27" s="9"/>
      <c r="G27" s="9"/>
      <c r="H27" s="9"/>
      <c r="I27" s="12">
        <v>0</v>
      </c>
      <c r="J27" s="9"/>
      <c r="K27" s="9"/>
      <c r="L27" s="9"/>
      <c r="M27" s="9"/>
      <c r="N27" s="9"/>
      <c r="O27" s="12">
        <v>0</v>
      </c>
      <c r="P27" s="9"/>
      <c r="Q27" s="9"/>
      <c r="R27" s="9"/>
      <c r="S27" s="9"/>
      <c r="T27" s="9"/>
      <c r="U27" s="12">
        <v>0</v>
      </c>
      <c r="V27" s="9"/>
      <c r="W27" s="9"/>
      <c r="X27" s="9"/>
      <c r="Y27" s="9"/>
      <c r="Z27" s="9"/>
      <c r="AA27" s="12">
        <v>0</v>
      </c>
      <c r="AB27" s="9"/>
      <c r="AC27" s="9"/>
      <c r="AD27" s="9"/>
      <c r="AE27" s="9"/>
      <c r="AF27" s="9"/>
      <c r="AG27" s="12">
        <v>-25</v>
      </c>
      <c r="AH27" s="9"/>
      <c r="AI27" s="9"/>
      <c r="AJ27" s="9"/>
      <c r="AK27" s="9"/>
      <c r="AL27" s="9"/>
      <c r="AM27" s="12">
        <v>0</v>
      </c>
      <c r="AN27" s="9"/>
      <c r="AO27" s="9"/>
      <c r="AP27" s="9"/>
      <c r="AQ27" s="9"/>
      <c r="AR27" s="9"/>
      <c r="AS27" s="12">
        <v>0</v>
      </c>
      <c r="AT27" s="9"/>
      <c r="AU27" s="9"/>
      <c r="AV27" s="9"/>
      <c r="AW27" s="9"/>
      <c r="AX27" s="9"/>
      <c r="AY27" s="12">
        <v>0</v>
      </c>
      <c r="AZ27" s="9"/>
      <c r="BA27" s="9"/>
      <c r="BB27" s="9"/>
      <c r="BC27" s="9"/>
      <c r="BD27" s="9"/>
      <c r="BE27" s="12">
        <v>0</v>
      </c>
      <c r="BF27" s="9"/>
      <c r="BG27" s="9"/>
      <c r="BH27" s="9"/>
      <c r="BI27" s="9"/>
      <c r="BJ27" s="9"/>
      <c r="BK27" s="12">
        <v>0</v>
      </c>
      <c r="BL27" s="9"/>
      <c r="BM27" s="9"/>
      <c r="BN27" s="9"/>
      <c r="BO27" s="9"/>
      <c r="BP27" s="9"/>
      <c r="BQ27" s="12">
        <v>0</v>
      </c>
      <c r="BR27" s="9"/>
      <c r="BS27" s="9"/>
      <c r="BT27" s="9"/>
      <c r="BU27" s="9"/>
      <c r="BV27" s="9"/>
      <c r="BW27" s="12">
        <v>0</v>
      </c>
      <c r="BX27" s="9"/>
      <c r="BY27" s="9"/>
      <c r="BZ27" s="9"/>
      <c r="CA27" s="9"/>
      <c r="CB27" s="9"/>
      <c r="CC27" s="12">
        <v>0</v>
      </c>
      <c r="CD27" s="9"/>
      <c r="CE27" s="9"/>
      <c r="CF27" s="9"/>
      <c r="CG27" s="9"/>
      <c r="CH27" s="9"/>
      <c r="CI27" s="12">
        <v>0</v>
      </c>
      <c r="CJ27" s="9"/>
      <c r="CK27" s="9"/>
      <c r="CL27" s="9"/>
      <c r="CM27" s="9"/>
      <c r="CN27" s="9"/>
      <c r="CO27" s="12">
        <v>0</v>
      </c>
      <c r="CP27" s="9"/>
      <c r="CQ27" s="9"/>
      <c r="CR27" s="9"/>
      <c r="CS27" s="9"/>
      <c r="CT27" s="9"/>
      <c r="CU27" s="12">
        <v>0</v>
      </c>
      <c r="CV27" s="9"/>
      <c r="CW27" s="9"/>
      <c r="CX27" s="9"/>
      <c r="CY27" s="9"/>
      <c r="CZ27" s="9"/>
      <c r="DA27" s="12">
        <v>0</v>
      </c>
      <c r="DB27" s="9"/>
      <c r="DC27" s="9"/>
      <c r="DD27" s="9"/>
      <c r="DE27" s="9"/>
      <c r="DF27" s="9"/>
      <c r="DG27" s="12">
        <v>0</v>
      </c>
      <c r="DH27" s="9"/>
      <c r="DI27" s="9"/>
      <c r="DJ27" s="9"/>
      <c r="DK27" s="9"/>
      <c r="DL27" s="9"/>
      <c r="DM27" s="12">
        <v>0</v>
      </c>
      <c r="DN27" s="9"/>
      <c r="DO27" s="9"/>
      <c r="DP27" s="9"/>
      <c r="DQ27" s="9"/>
      <c r="DR27" s="9"/>
      <c r="DS27" s="12">
        <v>0</v>
      </c>
      <c r="DT27" s="9"/>
      <c r="DU27" s="9"/>
      <c r="DV27" s="9"/>
      <c r="DW27" s="9"/>
      <c r="DX27" s="9"/>
      <c r="DY27" s="12">
        <v>0</v>
      </c>
      <c r="DZ27" s="9"/>
      <c r="EA27" s="9"/>
      <c r="EB27" s="9"/>
      <c r="EC27" s="9"/>
      <c r="ED27" s="9"/>
      <c r="EE27" s="12" cm="1">
        <f t="array" ref="EE27">ROUND(I27+O27+U27+AA27+AG27+AM27+AS27+AY27+BE27+BK27+BQ27+BW27+CC27+CI27+CO27+CU27+DA27+DG27+DM27+DS27+DY27,5)</f>
        <v>-25</v>
      </c>
    </row>
    <row r="28" ht="15" customHeight="1">
      <c r="A28" s="2"/>
      <c r="B28" t="s" s="2">
        <v>50</v>
      </c>
      <c r="C28" s="2"/>
      <c r="D28" s="2"/>
      <c r="E28" s="9"/>
      <c r="F28" s="9"/>
      <c r="G28" s="9"/>
      <c r="H28" s="9"/>
      <c r="I28" s="13" cm="1">
        <f t="array" ref="I28">ROUND(SUM(I26:I27),5)</f>
        <v>0</v>
      </c>
      <c r="J28" s="9"/>
      <c r="K28" s="9"/>
      <c r="L28" s="9"/>
      <c r="M28" s="9"/>
      <c r="N28" s="9"/>
      <c r="O28" s="13" cm="1">
        <f t="array" ref="O28">ROUND(SUM(O26:O27),5)</f>
        <v>0</v>
      </c>
      <c r="P28" s="9"/>
      <c r="Q28" s="9"/>
      <c r="R28" s="9"/>
      <c r="S28" s="9"/>
      <c r="T28" s="9"/>
      <c r="U28" s="13" cm="1">
        <f t="array" ref="U28">ROUND(SUM(U26:U27),5)</f>
        <v>0</v>
      </c>
      <c r="V28" s="9"/>
      <c r="W28" s="9"/>
      <c r="X28" s="9"/>
      <c r="Y28" s="9"/>
      <c r="Z28" s="9"/>
      <c r="AA28" s="13" cm="1">
        <f t="array" ref="AA28">ROUND(SUM(AA26:AA27),5)</f>
        <v>0</v>
      </c>
      <c r="AB28" s="9"/>
      <c r="AC28" s="9"/>
      <c r="AD28" s="9"/>
      <c r="AE28" s="9"/>
      <c r="AF28" s="9"/>
      <c r="AG28" s="13" cm="1">
        <f t="array" ref="AG28">ROUND(SUM(AG26:AG27),5)</f>
        <v>-25</v>
      </c>
      <c r="AH28" s="9"/>
      <c r="AI28" s="9"/>
      <c r="AJ28" s="9"/>
      <c r="AK28" s="9"/>
      <c r="AL28" s="9"/>
      <c r="AM28" s="13" cm="1">
        <f t="array" ref="AM28">ROUND(SUM(AM26:AM27),5)</f>
        <v>0</v>
      </c>
      <c r="AN28" s="9"/>
      <c r="AO28" s="9"/>
      <c r="AP28" s="9"/>
      <c r="AQ28" s="9"/>
      <c r="AR28" s="9"/>
      <c r="AS28" s="13" cm="1">
        <f t="array" ref="AS28">ROUND(SUM(AS26:AS27),5)</f>
        <v>0</v>
      </c>
      <c r="AT28" s="9"/>
      <c r="AU28" s="9"/>
      <c r="AV28" s="9"/>
      <c r="AW28" s="9"/>
      <c r="AX28" s="9"/>
      <c r="AY28" s="13" cm="1">
        <f t="array" ref="AY28">ROUND(SUM(AY26:AY27),5)</f>
        <v>0</v>
      </c>
      <c r="AZ28" s="9"/>
      <c r="BA28" s="9"/>
      <c r="BB28" s="9"/>
      <c r="BC28" s="9"/>
      <c r="BD28" s="9"/>
      <c r="BE28" s="13" cm="1">
        <f t="array" ref="BE28">ROUND(SUM(BE26:BE27),5)</f>
        <v>0</v>
      </c>
      <c r="BF28" s="9"/>
      <c r="BG28" s="9"/>
      <c r="BH28" s="9"/>
      <c r="BI28" s="9"/>
      <c r="BJ28" s="9"/>
      <c r="BK28" s="13" cm="1">
        <f t="array" ref="BK28">ROUND(SUM(BK26:BK27),5)</f>
        <v>0</v>
      </c>
      <c r="BL28" s="9"/>
      <c r="BM28" s="9"/>
      <c r="BN28" s="9"/>
      <c r="BO28" s="9"/>
      <c r="BP28" s="9"/>
      <c r="BQ28" s="13" cm="1">
        <f t="array" ref="BQ28">ROUND(SUM(BQ26:BQ27),5)</f>
        <v>0</v>
      </c>
      <c r="BR28" s="9"/>
      <c r="BS28" s="9"/>
      <c r="BT28" s="9"/>
      <c r="BU28" s="9"/>
      <c r="BV28" s="9"/>
      <c r="BW28" s="13" cm="1">
        <f t="array" ref="BW28">ROUND(SUM(BW26:BW27),5)</f>
        <v>0</v>
      </c>
      <c r="BX28" s="9"/>
      <c r="BY28" s="9"/>
      <c r="BZ28" s="9"/>
      <c r="CA28" s="9"/>
      <c r="CB28" s="9"/>
      <c r="CC28" s="13" cm="1">
        <f t="array" ref="CC28">ROUND(SUM(CC26:CC27),5)</f>
        <v>0</v>
      </c>
      <c r="CD28" s="9"/>
      <c r="CE28" s="9"/>
      <c r="CF28" s="9"/>
      <c r="CG28" s="9"/>
      <c r="CH28" s="9"/>
      <c r="CI28" s="13" cm="1">
        <f t="array" ref="CI28">ROUND(SUM(CI26:CI27),5)</f>
        <v>0</v>
      </c>
      <c r="CJ28" s="9"/>
      <c r="CK28" s="9"/>
      <c r="CL28" s="9"/>
      <c r="CM28" s="9"/>
      <c r="CN28" s="9"/>
      <c r="CO28" s="13" cm="1">
        <f t="array" ref="CO28">ROUND(SUM(CO26:CO27),5)</f>
        <v>0</v>
      </c>
      <c r="CP28" s="9"/>
      <c r="CQ28" s="9"/>
      <c r="CR28" s="9"/>
      <c r="CS28" s="9"/>
      <c r="CT28" s="9"/>
      <c r="CU28" s="13" cm="1">
        <f t="array" ref="CU28">ROUND(SUM(CU26:CU27),5)</f>
        <v>0</v>
      </c>
      <c r="CV28" s="9"/>
      <c r="CW28" s="9"/>
      <c r="CX28" s="9"/>
      <c r="CY28" s="9"/>
      <c r="CZ28" s="9"/>
      <c r="DA28" s="13" cm="1">
        <f t="array" ref="DA28">ROUND(SUM(DA26:DA27),5)</f>
        <v>0</v>
      </c>
      <c r="DB28" s="9"/>
      <c r="DC28" s="9"/>
      <c r="DD28" s="9"/>
      <c r="DE28" s="9"/>
      <c r="DF28" s="9"/>
      <c r="DG28" s="13" cm="1">
        <f t="array" ref="DG28">ROUND(SUM(DG26:DG27),5)</f>
        <v>0</v>
      </c>
      <c r="DH28" s="9"/>
      <c r="DI28" s="9"/>
      <c r="DJ28" s="9"/>
      <c r="DK28" s="9"/>
      <c r="DL28" s="9"/>
      <c r="DM28" s="13" cm="1">
        <f t="array" ref="DM28">ROUND(SUM(DM26:DM27),5)</f>
        <v>0</v>
      </c>
      <c r="DN28" s="9"/>
      <c r="DO28" s="9"/>
      <c r="DP28" s="9"/>
      <c r="DQ28" s="9"/>
      <c r="DR28" s="9"/>
      <c r="DS28" s="13" cm="1">
        <f t="array" ref="DS28">ROUND(SUM(DS26:DS27),5)</f>
        <v>0</v>
      </c>
      <c r="DT28" s="9"/>
      <c r="DU28" s="9"/>
      <c r="DV28" s="9"/>
      <c r="DW28" s="9"/>
      <c r="DX28" s="9"/>
      <c r="DY28" s="13" cm="1">
        <f t="array" ref="DY28">ROUND(SUM(DY26:DY27),5)</f>
        <v>0</v>
      </c>
      <c r="DZ28" s="9"/>
      <c r="EA28" s="9"/>
      <c r="EB28" s="9"/>
      <c r="EC28" s="9"/>
      <c r="ED28" s="9"/>
      <c r="EE28" s="13" cm="1">
        <f t="array" ref="EE28">ROUND(I28+O28+U28+AA28+AG28+AM28+AS28+AY28+BE28+BK28+BQ28+BW28+CC28+CI28+CO28+CU28+DA28+DG28+DM28+DS28+DY28,5)</f>
        <v>-25</v>
      </c>
    </row>
    <row r="29" ht="15" customHeight="1">
      <c r="A29" s="2"/>
      <c r="B29" t="s" s="2">
        <v>51</v>
      </c>
      <c r="C29" s="2"/>
      <c r="D29" s="2"/>
      <c r="E29" s="9"/>
      <c r="F29" s="9"/>
      <c r="G29" s="9"/>
      <c r="H29" s="9"/>
      <c r="I29" s="11"/>
      <c r="J29" s="9"/>
      <c r="K29" s="9"/>
      <c r="L29" s="9"/>
      <c r="M29" s="9"/>
      <c r="N29" s="9"/>
      <c r="O29" s="11"/>
      <c r="P29" s="9"/>
      <c r="Q29" s="9"/>
      <c r="R29" s="9"/>
      <c r="S29" s="9"/>
      <c r="T29" s="9"/>
      <c r="U29" s="11"/>
      <c r="V29" s="9"/>
      <c r="W29" s="9"/>
      <c r="X29" s="9"/>
      <c r="Y29" s="9"/>
      <c r="Z29" s="9"/>
      <c r="AA29" s="11"/>
      <c r="AB29" s="9"/>
      <c r="AC29" s="9"/>
      <c r="AD29" s="9"/>
      <c r="AE29" s="9"/>
      <c r="AF29" s="9"/>
      <c r="AG29" s="11"/>
      <c r="AH29" s="9"/>
      <c r="AI29" s="9"/>
      <c r="AJ29" s="9"/>
      <c r="AK29" s="9"/>
      <c r="AL29" s="9"/>
      <c r="AM29" s="11"/>
      <c r="AN29" s="9"/>
      <c r="AO29" s="9"/>
      <c r="AP29" s="9"/>
      <c r="AQ29" s="9"/>
      <c r="AR29" s="9"/>
      <c r="AS29" s="11"/>
      <c r="AT29" s="9"/>
      <c r="AU29" s="9"/>
      <c r="AV29" s="9"/>
      <c r="AW29" s="9"/>
      <c r="AX29" s="9"/>
      <c r="AY29" s="11"/>
      <c r="AZ29" s="9"/>
      <c r="BA29" s="9"/>
      <c r="BB29" s="9"/>
      <c r="BC29" s="9"/>
      <c r="BD29" s="9"/>
      <c r="BE29" s="11"/>
      <c r="BF29" s="9"/>
      <c r="BG29" s="9"/>
      <c r="BH29" s="9"/>
      <c r="BI29" s="9"/>
      <c r="BJ29" s="9"/>
      <c r="BK29" s="11"/>
      <c r="BL29" s="9"/>
      <c r="BM29" s="9"/>
      <c r="BN29" s="9"/>
      <c r="BO29" s="9"/>
      <c r="BP29" s="9"/>
      <c r="BQ29" s="11"/>
      <c r="BR29" s="9"/>
      <c r="BS29" s="9"/>
      <c r="BT29" s="9"/>
      <c r="BU29" s="9"/>
      <c r="BV29" s="9"/>
      <c r="BW29" s="11"/>
      <c r="BX29" s="9"/>
      <c r="BY29" s="9"/>
      <c r="BZ29" s="9"/>
      <c r="CA29" s="9"/>
      <c r="CB29" s="9"/>
      <c r="CC29" s="11"/>
      <c r="CD29" s="9"/>
      <c r="CE29" s="9"/>
      <c r="CF29" s="9"/>
      <c r="CG29" s="9"/>
      <c r="CH29" s="9"/>
      <c r="CI29" s="11"/>
      <c r="CJ29" s="9"/>
      <c r="CK29" s="9"/>
      <c r="CL29" s="9"/>
      <c r="CM29" s="9"/>
      <c r="CN29" s="9"/>
      <c r="CO29" s="11"/>
      <c r="CP29" s="9"/>
      <c r="CQ29" s="9"/>
      <c r="CR29" s="9"/>
      <c r="CS29" s="9"/>
      <c r="CT29" s="9"/>
      <c r="CU29" s="11"/>
      <c r="CV29" s="9"/>
      <c r="CW29" s="9"/>
      <c r="CX29" s="9"/>
      <c r="CY29" s="9"/>
      <c r="CZ29" s="9"/>
      <c r="DA29" s="11"/>
      <c r="DB29" s="9"/>
      <c r="DC29" s="9"/>
      <c r="DD29" s="9"/>
      <c r="DE29" s="9"/>
      <c r="DF29" s="9"/>
      <c r="DG29" s="11"/>
      <c r="DH29" s="9"/>
      <c r="DI29" s="9"/>
      <c r="DJ29" s="9"/>
      <c r="DK29" s="9"/>
      <c r="DL29" s="9"/>
      <c r="DM29" s="11"/>
      <c r="DN29" s="9"/>
      <c r="DO29" s="9"/>
      <c r="DP29" s="9"/>
      <c r="DQ29" s="9"/>
      <c r="DR29" s="9"/>
      <c r="DS29" s="11"/>
      <c r="DT29" s="9"/>
      <c r="DU29" s="9"/>
      <c r="DV29" s="9"/>
      <c r="DW29" s="9"/>
      <c r="DX29" s="9"/>
      <c r="DY29" s="11"/>
      <c r="DZ29" s="9"/>
      <c r="EA29" s="9"/>
      <c r="EB29" s="9"/>
      <c r="EC29" s="9"/>
      <c r="ED29" s="9"/>
      <c r="EE29" s="11"/>
    </row>
    <row r="30" ht="15.75" customHeight="1">
      <c r="A30" s="2"/>
      <c r="B30" s="2"/>
      <c r="C30" t="s" s="2">
        <v>52</v>
      </c>
      <c r="D30" s="2"/>
      <c r="E30" s="9"/>
      <c r="F30" s="9"/>
      <c r="G30" s="9"/>
      <c r="H30" s="9"/>
      <c r="I30" s="12">
        <v>0</v>
      </c>
      <c r="J30" s="9"/>
      <c r="K30" s="9"/>
      <c r="L30" s="9"/>
      <c r="M30" s="9"/>
      <c r="N30" s="9"/>
      <c r="O30" s="12">
        <v>0</v>
      </c>
      <c r="P30" s="9"/>
      <c r="Q30" s="9"/>
      <c r="R30" s="9"/>
      <c r="S30" s="9"/>
      <c r="T30" s="9"/>
      <c r="U30" s="12">
        <v>0</v>
      </c>
      <c r="V30" s="9"/>
      <c r="W30" s="9"/>
      <c r="X30" s="9"/>
      <c r="Y30" s="9"/>
      <c r="Z30" s="9"/>
      <c r="AA30" s="12">
        <v>0</v>
      </c>
      <c r="AB30" s="9"/>
      <c r="AC30" s="9"/>
      <c r="AD30" s="9"/>
      <c r="AE30" s="9"/>
      <c r="AF30" s="9"/>
      <c r="AG30" s="12">
        <v>0</v>
      </c>
      <c r="AH30" s="9"/>
      <c r="AI30" s="9"/>
      <c r="AJ30" s="9"/>
      <c r="AK30" s="9"/>
      <c r="AL30" s="9"/>
      <c r="AM30" s="12">
        <v>8.75</v>
      </c>
      <c r="AN30" s="9"/>
      <c r="AO30" s="9"/>
      <c r="AP30" s="9"/>
      <c r="AQ30" s="9"/>
      <c r="AR30" s="9"/>
      <c r="AS30" s="12">
        <v>0</v>
      </c>
      <c r="AT30" s="9"/>
      <c r="AU30" s="9"/>
      <c r="AV30" s="9"/>
      <c r="AW30" s="9"/>
      <c r="AX30" s="9"/>
      <c r="AY30" s="12">
        <v>0</v>
      </c>
      <c r="AZ30" s="9"/>
      <c r="BA30" s="9"/>
      <c r="BB30" s="9"/>
      <c r="BC30" s="9"/>
      <c r="BD30" s="9"/>
      <c r="BE30" s="12">
        <v>0</v>
      </c>
      <c r="BF30" s="9"/>
      <c r="BG30" s="9"/>
      <c r="BH30" s="9"/>
      <c r="BI30" s="9"/>
      <c r="BJ30" s="9"/>
      <c r="BK30" s="12">
        <v>0</v>
      </c>
      <c r="BL30" s="9"/>
      <c r="BM30" s="9"/>
      <c r="BN30" s="9"/>
      <c r="BO30" s="9"/>
      <c r="BP30" s="9"/>
      <c r="BQ30" s="12">
        <v>0</v>
      </c>
      <c r="BR30" s="9"/>
      <c r="BS30" s="9"/>
      <c r="BT30" s="9"/>
      <c r="BU30" s="9"/>
      <c r="BV30" s="9"/>
      <c r="BW30" s="12">
        <v>0</v>
      </c>
      <c r="BX30" s="9"/>
      <c r="BY30" s="9"/>
      <c r="BZ30" s="9"/>
      <c r="CA30" s="9"/>
      <c r="CB30" s="9"/>
      <c r="CC30" s="12">
        <v>0</v>
      </c>
      <c r="CD30" s="9"/>
      <c r="CE30" s="9"/>
      <c r="CF30" s="9"/>
      <c r="CG30" s="9"/>
      <c r="CH30" s="9"/>
      <c r="CI30" s="12">
        <v>0</v>
      </c>
      <c r="CJ30" s="9"/>
      <c r="CK30" s="9"/>
      <c r="CL30" s="9"/>
      <c r="CM30" s="9"/>
      <c r="CN30" s="9"/>
      <c r="CO30" s="12">
        <v>8.75</v>
      </c>
      <c r="CP30" s="9"/>
      <c r="CQ30" s="9"/>
      <c r="CR30" s="9"/>
      <c r="CS30" s="9"/>
      <c r="CT30" s="9"/>
      <c r="CU30" s="12">
        <v>0</v>
      </c>
      <c r="CV30" s="9"/>
      <c r="CW30" s="9"/>
      <c r="CX30" s="9"/>
      <c r="CY30" s="9"/>
      <c r="CZ30" s="9"/>
      <c r="DA30" s="12">
        <v>0</v>
      </c>
      <c r="DB30" s="9"/>
      <c r="DC30" s="9"/>
      <c r="DD30" s="9"/>
      <c r="DE30" s="9"/>
      <c r="DF30" s="9"/>
      <c r="DG30" s="12">
        <v>8.75</v>
      </c>
      <c r="DH30" s="9"/>
      <c r="DI30" s="9"/>
      <c r="DJ30" s="9"/>
      <c r="DK30" s="9"/>
      <c r="DL30" s="9"/>
      <c r="DM30" s="12">
        <v>8.75</v>
      </c>
      <c r="DN30" s="9"/>
      <c r="DO30" s="9"/>
      <c r="DP30" s="9"/>
      <c r="DQ30" s="9"/>
      <c r="DR30" s="9"/>
      <c r="DS30" s="12">
        <v>8.75</v>
      </c>
      <c r="DT30" s="9"/>
      <c r="DU30" s="9"/>
      <c r="DV30" s="9"/>
      <c r="DW30" s="9"/>
      <c r="DX30" s="9"/>
      <c r="DY30" s="12">
        <v>0</v>
      </c>
      <c r="DZ30" s="9"/>
      <c r="EA30" s="9"/>
      <c r="EB30" s="9"/>
      <c r="EC30" s="9"/>
      <c r="ED30" s="9"/>
      <c r="EE30" s="12" cm="1">
        <f t="array" ref="EE30">ROUND(I30+O30+U30+AA30+AG30+AM30+AS30+AY30+BE30+BK30+BQ30+BW30+CC30+CI30+CO30+CU30+DA30+DG30+DM30+DS30+DY30,5)</f>
        <v>43.75</v>
      </c>
    </row>
    <row r="31" ht="15.75" customHeight="1">
      <c r="A31" s="2"/>
      <c r="B31" t="s" s="2">
        <v>53</v>
      </c>
      <c r="C31" s="2"/>
      <c r="D31" s="2"/>
      <c r="E31" s="9"/>
      <c r="F31" s="9"/>
      <c r="G31" s="9"/>
      <c r="H31" s="9"/>
      <c r="I31" s="14" cm="1">
        <f t="array" ref="I31">ROUND(SUM(I29:I30),5)</f>
        <v>0</v>
      </c>
      <c r="J31" s="9"/>
      <c r="K31" s="9"/>
      <c r="L31" s="9"/>
      <c r="M31" s="9"/>
      <c r="N31" s="9"/>
      <c r="O31" s="14" cm="1">
        <f t="array" ref="O31">ROUND(SUM(O29:O30),5)</f>
        <v>0</v>
      </c>
      <c r="P31" s="9"/>
      <c r="Q31" s="9"/>
      <c r="R31" s="9"/>
      <c r="S31" s="9"/>
      <c r="T31" s="9"/>
      <c r="U31" s="14" cm="1">
        <f t="array" ref="U31">ROUND(SUM(U29:U30),5)</f>
        <v>0</v>
      </c>
      <c r="V31" s="9"/>
      <c r="W31" s="9"/>
      <c r="X31" s="9"/>
      <c r="Y31" s="9"/>
      <c r="Z31" s="9"/>
      <c r="AA31" s="14" cm="1">
        <f t="array" ref="AA31">ROUND(SUM(AA29:AA30),5)</f>
        <v>0</v>
      </c>
      <c r="AB31" s="9"/>
      <c r="AC31" s="9"/>
      <c r="AD31" s="9"/>
      <c r="AE31" s="9"/>
      <c r="AF31" s="9"/>
      <c r="AG31" s="14" cm="1">
        <f t="array" ref="AG31">ROUND(SUM(AG29:AG30),5)</f>
        <v>0</v>
      </c>
      <c r="AH31" s="9"/>
      <c r="AI31" s="9"/>
      <c r="AJ31" s="9"/>
      <c r="AK31" s="9"/>
      <c r="AL31" s="9"/>
      <c r="AM31" s="14" cm="1">
        <f t="array" ref="AM31">ROUND(SUM(AM29:AM30),5)</f>
        <v>8.75</v>
      </c>
      <c r="AN31" s="9"/>
      <c r="AO31" s="9"/>
      <c r="AP31" s="9"/>
      <c r="AQ31" s="9"/>
      <c r="AR31" s="9"/>
      <c r="AS31" s="14" cm="1">
        <f t="array" ref="AS31">ROUND(SUM(AS29:AS30),5)</f>
        <v>0</v>
      </c>
      <c r="AT31" s="9"/>
      <c r="AU31" s="9"/>
      <c r="AV31" s="9"/>
      <c r="AW31" s="9"/>
      <c r="AX31" s="9"/>
      <c r="AY31" s="14" cm="1">
        <f t="array" ref="AY31">ROUND(SUM(AY29:AY30),5)</f>
        <v>0</v>
      </c>
      <c r="AZ31" s="9"/>
      <c r="BA31" s="9"/>
      <c r="BB31" s="9"/>
      <c r="BC31" s="9"/>
      <c r="BD31" s="9"/>
      <c r="BE31" s="14" cm="1">
        <f t="array" ref="BE31">ROUND(SUM(BE29:BE30),5)</f>
        <v>0</v>
      </c>
      <c r="BF31" s="9"/>
      <c r="BG31" s="9"/>
      <c r="BH31" s="9"/>
      <c r="BI31" s="9"/>
      <c r="BJ31" s="9"/>
      <c r="BK31" s="14" cm="1">
        <f t="array" ref="BK31">ROUND(SUM(BK29:BK30),5)</f>
        <v>0</v>
      </c>
      <c r="BL31" s="9"/>
      <c r="BM31" s="9"/>
      <c r="BN31" s="9"/>
      <c r="BO31" s="9"/>
      <c r="BP31" s="9"/>
      <c r="BQ31" s="14" cm="1">
        <f t="array" ref="BQ31">ROUND(SUM(BQ29:BQ30),5)</f>
        <v>0</v>
      </c>
      <c r="BR31" s="9"/>
      <c r="BS31" s="9"/>
      <c r="BT31" s="9"/>
      <c r="BU31" s="9"/>
      <c r="BV31" s="9"/>
      <c r="BW31" s="14" cm="1">
        <f t="array" ref="BW31">ROUND(SUM(BW29:BW30),5)</f>
        <v>0</v>
      </c>
      <c r="BX31" s="9"/>
      <c r="BY31" s="9"/>
      <c r="BZ31" s="9"/>
      <c r="CA31" s="9"/>
      <c r="CB31" s="9"/>
      <c r="CC31" s="14" cm="1">
        <f t="array" ref="CC31">ROUND(SUM(CC29:CC30),5)</f>
        <v>0</v>
      </c>
      <c r="CD31" s="9"/>
      <c r="CE31" s="9"/>
      <c r="CF31" s="9"/>
      <c r="CG31" s="9"/>
      <c r="CH31" s="9"/>
      <c r="CI31" s="14" cm="1">
        <f t="array" ref="CI31">ROUND(SUM(CI29:CI30),5)</f>
        <v>0</v>
      </c>
      <c r="CJ31" s="9"/>
      <c r="CK31" s="9"/>
      <c r="CL31" s="9"/>
      <c r="CM31" s="9"/>
      <c r="CN31" s="9"/>
      <c r="CO31" s="14" cm="1">
        <f t="array" ref="CO31">ROUND(SUM(CO29:CO30),5)</f>
        <v>8.75</v>
      </c>
      <c r="CP31" s="9"/>
      <c r="CQ31" s="9"/>
      <c r="CR31" s="9"/>
      <c r="CS31" s="9"/>
      <c r="CT31" s="9"/>
      <c r="CU31" s="14" cm="1">
        <f t="array" ref="CU31">ROUND(SUM(CU29:CU30),5)</f>
        <v>0</v>
      </c>
      <c r="CV31" s="9"/>
      <c r="CW31" s="9"/>
      <c r="CX31" s="9"/>
      <c r="CY31" s="9"/>
      <c r="CZ31" s="9"/>
      <c r="DA31" s="14" cm="1">
        <f t="array" ref="DA31">ROUND(SUM(DA29:DA30),5)</f>
        <v>0</v>
      </c>
      <c r="DB31" s="9"/>
      <c r="DC31" s="9"/>
      <c r="DD31" s="9"/>
      <c r="DE31" s="9"/>
      <c r="DF31" s="9"/>
      <c r="DG31" s="14" cm="1">
        <f t="array" ref="DG31">ROUND(SUM(DG29:DG30),5)</f>
        <v>8.75</v>
      </c>
      <c r="DH31" s="9"/>
      <c r="DI31" s="9"/>
      <c r="DJ31" s="9"/>
      <c r="DK31" s="9"/>
      <c r="DL31" s="9"/>
      <c r="DM31" s="14" cm="1">
        <f t="array" ref="DM31">ROUND(SUM(DM29:DM30),5)</f>
        <v>8.75</v>
      </c>
      <c r="DN31" s="9"/>
      <c r="DO31" s="9"/>
      <c r="DP31" s="9"/>
      <c r="DQ31" s="9"/>
      <c r="DR31" s="9"/>
      <c r="DS31" s="14" cm="1">
        <f t="array" ref="DS31">ROUND(SUM(DS29:DS30),5)</f>
        <v>8.75</v>
      </c>
      <c r="DT31" s="9"/>
      <c r="DU31" s="9"/>
      <c r="DV31" s="9"/>
      <c r="DW31" s="9"/>
      <c r="DX31" s="9"/>
      <c r="DY31" s="14" cm="1">
        <f t="array" ref="DY31">ROUND(SUM(DY29:DY30),5)</f>
        <v>0</v>
      </c>
      <c r="DZ31" s="9"/>
      <c r="EA31" s="9"/>
      <c r="EB31" s="9"/>
      <c r="EC31" s="9"/>
      <c r="ED31" s="9"/>
      <c r="EE31" s="14" cm="1">
        <f t="array" ref="EE31">ROUND(I31+O31+U31+AA31+AG31+AM31+AS31+AY31+BE31+BK31+BQ31+BW31+CC31+CI31+CO31+CU31+DA31+DG31+DM31+DS31+DY31,5)</f>
        <v>43.75</v>
      </c>
    </row>
    <row r="32" ht="12" customHeight="1">
      <c r="A32" t="s" s="2">
        <v>54</v>
      </c>
      <c r="B32" s="2"/>
      <c r="C32" s="2"/>
      <c r="D32" s="2"/>
      <c r="E32" s="2"/>
      <c r="F32" s="2"/>
      <c r="G32" s="2"/>
      <c r="H32" s="2"/>
      <c r="I32" s="15" cm="1">
        <f t="array" ref="I32">ROUND(I3+I17+I25+I28+I31,5)</f>
        <v>1394.85</v>
      </c>
      <c r="J32" s="2"/>
      <c r="K32" s="2"/>
      <c r="L32" s="2"/>
      <c r="M32" s="2"/>
      <c r="N32" s="2"/>
      <c r="O32" s="15" cm="1">
        <f t="array" ref="O32">ROUND(O3+O17+O25+O28+O31,5)</f>
        <v>1352.11</v>
      </c>
      <c r="P32" s="2"/>
      <c r="Q32" s="2"/>
      <c r="R32" s="2"/>
      <c r="S32" s="2"/>
      <c r="T32" s="2"/>
      <c r="U32" s="15" cm="1">
        <f t="array" ref="U32">ROUND(U3+U17+U25+U28+U31,5)</f>
        <v>1146.34</v>
      </c>
      <c r="V32" s="2"/>
      <c r="W32" s="2"/>
      <c r="X32" s="2"/>
      <c r="Y32" s="2"/>
      <c r="Z32" s="2"/>
      <c r="AA32" s="15" cm="1">
        <f t="array" ref="AA32">ROUND(AA3+AA17+AA25+AA28+AA31,5)</f>
        <v>1382.58</v>
      </c>
      <c r="AB32" s="2"/>
      <c r="AC32" s="2"/>
      <c r="AD32" s="2"/>
      <c r="AE32" s="2"/>
      <c r="AF32" s="2"/>
      <c r="AG32" s="15" cm="1">
        <f t="array" ref="AG32">ROUND(AG3+AG17+AG25+AG28+AG31,5)</f>
        <v>1138.6</v>
      </c>
      <c r="AH32" s="2"/>
      <c r="AI32" s="2"/>
      <c r="AJ32" s="2"/>
      <c r="AK32" s="2"/>
      <c r="AL32" s="2"/>
      <c r="AM32" s="15" cm="1">
        <f t="array" ref="AM32">ROUND(AM3+AM17+AM25+AM28+AM31,5)</f>
        <v>1605.19</v>
      </c>
      <c r="AN32" s="2"/>
      <c r="AO32" s="2"/>
      <c r="AP32" s="2"/>
      <c r="AQ32" s="2"/>
      <c r="AR32" s="2"/>
      <c r="AS32" s="15" cm="1">
        <f t="array" ref="AS32">ROUND(AS3+AS17+AS25+AS28+AS31,5)</f>
        <v>1382.1</v>
      </c>
      <c r="AT32" s="2"/>
      <c r="AU32" s="2"/>
      <c r="AV32" s="2"/>
      <c r="AW32" s="2"/>
      <c r="AX32" s="2"/>
      <c r="AY32" s="15" cm="1">
        <f t="array" ref="AY32">ROUND(AY3+AY17+AY25+AY28+AY31,5)</f>
        <v>1407.67</v>
      </c>
      <c r="AZ32" s="2"/>
      <c r="BA32" s="2"/>
      <c r="BB32" s="2"/>
      <c r="BC32" s="2"/>
      <c r="BD32" s="2"/>
      <c r="BE32" s="15" cm="1">
        <f t="array" ref="BE32">ROUND(BE3+BE17+BE25+BE28+BE31,5)</f>
        <v>1251.87</v>
      </c>
      <c r="BF32" s="2"/>
      <c r="BG32" s="2"/>
      <c r="BH32" s="2"/>
      <c r="BI32" s="2"/>
      <c r="BJ32" s="2"/>
      <c r="BK32" s="15" cm="1">
        <f t="array" ref="BK32">ROUND(BK3+BK17+BK25+BK28+BK31,5)</f>
        <v>1172.74</v>
      </c>
      <c r="BL32" s="2"/>
      <c r="BM32" s="2"/>
      <c r="BN32" s="2"/>
      <c r="BO32" s="2"/>
      <c r="BP32" s="2"/>
      <c r="BQ32" s="15" cm="1">
        <f t="array" ref="BQ32">ROUND(BQ3+BQ17+BQ25+BQ28+BQ31,5)</f>
        <v>1263.72</v>
      </c>
      <c r="BR32" s="2"/>
      <c r="BS32" s="2"/>
      <c r="BT32" s="2"/>
      <c r="BU32" s="2"/>
      <c r="BV32" s="2"/>
      <c r="BW32" s="15" cm="1">
        <f t="array" ref="BW32">ROUND(BW3+BW17+BW25+BW28+BW31,5)</f>
        <v>2548.93</v>
      </c>
      <c r="BX32" s="2"/>
      <c r="BY32" s="2"/>
      <c r="BZ32" s="2"/>
      <c r="CA32" s="2"/>
      <c r="CB32" s="2"/>
      <c r="CC32" s="15" cm="1">
        <f t="array" ref="CC32">ROUND(CC3+CC17+CC25+CC28+CC31,5)</f>
        <v>3785.04</v>
      </c>
      <c r="CD32" s="2"/>
      <c r="CE32" s="2"/>
      <c r="CF32" s="2"/>
      <c r="CG32" s="2"/>
      <c r="CH32" s="2"/>
      <c r="CI32" s="15" cm="1">
        <f t="array" ref="CI32">ROUND(CI3+CI17+CI25+CI28+CI31,5)</f>
        <v>1855.77</v>
      </c>
      <c r="CJ32" s="2"/>
      <c r="CK32" s="2"/>
      <c r="CL32" s="2"/>
      <c r="CM32" s="2"/>
      <c r="CN32" s="2"/>
      <c r="CO32" s="15" cm="1">
        <f t="array" ref="CO32">ROUND(CO3+CO17+CO25+CO28+CO31,5)</f>
        <v>1601.45</v>
      </c>
      <c r="CP32" s="2"/>
      <c r="CQ32" s="2"/>
      <c r="CR32" s="2"/>
      <c r="CS32" s="2"/>
      <c r="CT32" s="2"/>
      <c r="CU32" s="15" cm="1">
        <f t="array" ref="CU32">ROUND(CU3+CU17+CU25+CU28+CU31,5)</f>
        <v>1174.88</v>
      </c>
      <c r="CV32" s="2"/>
      <c r="CW32" s="2"/>
      <c r="CX32" s="2"/>
      <c r="CY32" s="2"/>
      <c r="CZ32" s="2"/>
      <c r="DA32" s="15" cm="1">
        <f t="array" ref="DA32">ROUND(DA3+DA17+DA25+DA28+DA31,5)</f>
        <v>1529.55</v>
      </c>
      <c r="DB32" s="2"/>
      <c r="DC32" s="2"/>
      <c r="DD32" s="2"/>
      <c r="DE32" s="2"/>
      <c r="DF32" s="2"/>
      <c r="DG32" s="15" cm="1">
        <f t="array" ref="DG32">ROUND(DG3+DG17+DG25+DG28+DG31,5)</f>
        <v>1263.29</v>
      </c>
      <c r="DH32" s="2"/>
      <c r="DI32" s="2"/>
      <c r="DJ32" s="2"/>
      <c r="DK32" s="2"/>
      <c r="DL32" s="2"/>
      <c r="DM32" s="15" cm="1">
        <f t="array" ref="DM32">ROUND(DM3+DM17+DM25+DM28+DM31,5)</f>
        <v>1141.91</v>
      </c>
      <c r="DN32" s="2"/>
      <c r="DO32" s="2"/>
      <c r="DP32" s="2"/>
      <c r="DQ32" s="2"/>
      <c r="DR32" s="2"/>
      <c r="DS32" s="15" cm="1">
        <f t="array" ref="DS32">ROUND(DS3+DS17+DS25+DS28+DS31,5)</f>
        <v>1192.89</v>
      </c>
      <c r="DT32" s="2"/>
      <c r="DU32" s="2"/>
      <c r="DV32" s="2"/>
      <c r="DW32" s="2"/>
      <c r="DX32" s="2"/>
      <c r="DY32" s="15" cm="1">
        <f t="array" ref="DY32">ROUND(DY3+DY17+DY25+DY28+DY31,5)</f>
        <v>1784.82</v>
      </c>
      <c r="DZ32" s="2"/>
      <c r="EA32" s="2"/>
      <c r="EB32" s="2"/>
      <c r="EC32" s="2"/>
      <c r="ED32" s="2"/>
      <c r="EE32" s="15" cm="1">
        <f t="array" ref="EE32">ROUND(I32+O32+U32+AA32+AG32+AM32+AS32+AY32+BE32+BK32+BQ32+BW32+CC32+CI32+CO32+CU32+DA32+DG32+DM32+DS32+DY32,5)</f>
        <v>32376.3</v>
      </c>
    </row>
    <row r="33" ht="15.75" customHeight="1">
      <c r="A33" t="s" s="2">
        <v>55</v>
      </c>
      <c r="B33" s="2"/>
      <c r="C33" s="2"/>
      <c r="D33" s="2"/>
      <c r="E33" s="9"/>
      <c r="F33" s="9"/>
      <c r="G33" s="9"/>
      <c r="H33" s="9"/>
      <c r="I33" s="16"/>
      <c r="J33" s="9"/>
      <c r="K33" s="9"/>
      <c r="L33" s="9"/>
      <c r="M33" s="9"/>
      <c r="N33" s="9"/>
      <c r="O33" s="16"/>
      <c r="P33" s="9"/>
      <c r="Q33" s="9"/>
      <c r="R33" s="9"/>
      <c r="S33" s="9"/>
      <c r="T33" s="9"/>
      <c r="U33" s="16"/>
      <c r="V33" s="9"/>
      <c r="W33" s="9"/>
      <c r="X33" s="9"/>
      <c r="Y33" s="9"/>
      <c r="Z33" s="9"/>
      <c r="AA33" s="16"/>
      <c r="AB33" s="9"/>
      <c r="AC33" s="9"/>
      <c r="AD33" s="9"/>
      <c r="AE33" s="9"/>
      <c r="AF33" s="9"/>
      <c r="AG33" s="16"/>
      <c r="AH33" s="9"/>
      <c r="AI33" s="9"/>
      <c r="AJ33" s="9"/>
      <c r="AK33" s="9"/>
      <c r="AL33" s="9"/>
      <c r="AM33" s="16"/>
      <c r="AN33" s="9"/>
      <c r="AO33" s="9"/>
      <c r="AP33" s="9"/>
      <c r="AQ33" s="9"/>
      <c r="AR33" s="9"/>
      <c r="AS33" s="16"/>
      <c r="AT33" s="9"/>
      <c r="AU33" s="9"/>
      <c r="AV33" s="9"/>
      <c r="AW33" s="9"/>
      <c r="AX33" s="9"/>
      <c r="AY33" s="16"/>
      <c r="AZ33" s="9"/>
      <c r="BA33" s="9"/>
      <c r="BB33" s="9"/>
      <c r="BC33" s="9"/>
      <c r="BD33" s="9"/>
      <c r="BE33" s="16"/>
      <c r="BF33" s="9"/>
      <c r="BG33" s="9"/>
      <c r="BH33" s="9"/>
      <c r="BI33" s="9"/>
      <c r="BJ33" s="9"/>
      <c r="BK33" s="16"/>
      <c r="BL33" s="9"/>
      <c r="BM33" s="9"/>
      <c r="BN33" s="9"/>
      <c r="BO33" s="9"/>
      <c r="BP33" s="9"/>
      <c r="BQ33" s="16"/>
      <c r="BR33" s="9"/>
      <c r="BS33" s="9"/>
      <c r="BT33" s="9"/>
      <c r="BU33" s="9"/>
      <c r="BV33" s="9"/>
      <c r="BW33" s="16"/>
      <c r="BX33" s="9"/>
      <c r="BY33" s="9"/>
      <c r="BZ33" s="9"/>
      <c r="CA33" s="9"/>
      <c r="CB33" s="9"/>
      <c r="CC33" s="16"/>
      <c r="CD33" s="9"/>
      <c r="CE33" s="9"/>
      <c r="CF33" s="9"/>
      <c r="CG33" s="9"/>
      <c r="CH33" s="9"/>
      <c r="CI33" s="16"/>
      <c r="CJ33" s="9"/>
      <c r="CK33" s="9"/>
      <c r="CL33" s="9"/>
      <c r="CM33" s="9"/>
      <c r="CN33" s="9"/>
      <c r="CO33" s="16"/>
      <c r="CP33" s="9"/>
      <c r="CQ33" s="9"/>
      <c r="CR33" s="9"/>
      <c r="CS33" s="9"/>
      <c r="CT33" s="9"/>
      <c r="CU33" s="16"/>
      <c r="CV33" s="9"/>
      <c r="CW33" s="9"/>
      <c r="CX33" s="9"/>
      <c r="CY33" s="9"/>
      <c r="CZ33" s="9"/>
      <c r="DA33" s="16"/>
      <c r="DB33" s="9"/>
      <c r="DC33" s="9"/>
      <c r="DD33" s="9"/>
      <c r="DE33" s="9"/>
      <c r="DF33" s="9"/>
      <c r="DG33" s="16"/>
      <c r="DH33" s="9"/>
      <c r="DI33" s="9"/>
      <c r="DJ33" s="9"/>
      <c r="DK33" s="9"/>
      <c r="DL33" s="9"/>
      <c r="DM33" s="16"/>
      <c r="DN33" s="9"/>
      <c r="DO33" s="9"/>
      <c r="DP33" s="9"/>
      <c r="DQ33" s="9"/>
      <c r="DR33" s="9"/>
      <c r="DS33" s="16"/>
      <c r="DT33" s="9"/>
      <c r="DU33" s="9"/>
      <c r="DV33" s="9"/>
      <c r="DW33" s="9"/>
      <c r="DX33" s="9"/>
      <c r="DY33" s="16"/>
      <c r="DZ33" s="9"/>
      <c r="EA33" s="9"/>
      <c r="EB33" s="9"/>
      <c r="EC33" s="9"/>
      <c r="ED33" s="9"/>
      <c r="EE33" s="16"/>
    </row>
    <row r="34" ht="15" customHeight="1">
      <c r="A34" s="2"/>
      <c r="B34" t="s" s="2">
        <v>56</v>
      </c>
      <c r="C34" s="2"/>
      <c r="D34" s="2"/>
      <c r="E34" s="9"/>
      <c r="F34" s="9"/>
      <c r="G34" s="9"/>
      <c r="H34" s="9"/>
      <c r="I34" s="11">
        <v>10.48</v>
      </c>
      <c r="J34" s="9"/>
      <c r="K34" s="9"/>
      <c r="L34" s="9"/>
      <c r="M34" s="9"/>
      <c r="N34" s="9"/>
      <c r="O34" s="11">
        <v>9.23</v>
      </c>
      <c r="P34" s="9"/>
      <c r="Q34" s="9"/>
      <c r="R34" s="9"/>
      <c r="S34" s="9"/>
      <c r="T34" s="9"/>
      <c r="U34" s="11">
        <v>7.38</v>
      </c>
      <c r="V34" s="9"/>
      <c r="W34" s="9"/>
      <c r="X34" s="9"/>
      <c r="Y34" s="9"/>
      <c r="Z34" s="9"/>
      <c r="AA34" s="11">
        <v>9.23</v>
      </c>
      <c r="AB34" s="9"/>
      <c r="AC34" s="9"/>
      <c r="AD34" s="9"/>
      <c r="AE34" s="9"/>
      <c r="AF34" s="9"/>
      <c r="AG34" s="11">
        <v>8.74</v>
      </c>
      <c r="AH34" s="9"/>
      <c r="AI34" s="9"/>
      <c r="AJ34" s="9"/>
      <c r="AK34" s="9"/>
      <c r="AL34" s="9"/>
      <c r="AM34" s="11">
        <v>10.31</v>
      </c>
      <c r="AN34" s="9"/>
      <c r="AO34" s="9"/>
      <c r="AP34" s="9"/>
      <c r="AQ34" s="9"/>
      <c r="AR34" s="9"/>
      <c r="AS34" s="11">
        <v>14.54</v>
      </c>
      <c r="AT34" s="9"/>
      <c r="AU34" s="9"/>
      <c r="AV34" s="9"/>
      <c r="AW34" s="9"/>
      <c r="AX34" s="9"/>
      <c r="AY34" s="11">
        <v>9.81</v>
      </c>
      <c r="AZ34" s="9"/>
      <c r="BA34" s="9"/>
      <c r="BB34" s="9"/>
      <c r="BC34" s="9"/>
      <c r="BD34" s="9"/>
      <c r="BE34" s="11">
        <v>10.39</v>
      </c>
      <c r="BF34" s="9"/>
      <c r="BG34" s="9"/>
      <c r="BH34" s="9"/>
      <c r="BI34" s="9"/>
      <c r="BJ34" s="9"/>
      <c r="BK34" s="11">
        <v>9</v>
      </c>
      <c r="BL34" s="9"/>
      <c r="BM34" s="9"/>
      <c r="BN34" s="9"/>
      <c r="BO34" s="9"/>
      <c r="BP34" s="9"/>
      <c r="BQ34" s="11">
        <v>3.92</v>
      </c>
      <c r="BR34" s="9"/>
      <c r="BS34" s="9"/>
      <c r="BT34" s="9"/>
      <c r="BU34" s="9"/>
      <c r="BV34" s="9"/>
      <c r="BW34" s="11">
        <v>17.62</v>
      </c>
      <c r="BX34" s="9"/>
      <c r="BY34" s="9"/>
      <c r="BZ34" s="9"/>
      <c r="CA34" s="9"/>
      <c r="CB34" s="9"/>
      <c r="CC34" s="11">
        <v>17.64</v>
      </c>
      <c r="CD34" s="9"/>
      <c r="CE34" s="9"/>
      <c r="CF34" s="9"/>
      <c r="CG34" s="9"/>
      <c r="CH34" s="9"/>
      <c r="CI34" s="11">
        <v>10.36</v>
      </c>
      <c r="CJ34" s="9"/>
      <c r="CK34" s="9"/>
      <c r="CL34" s="9"/>
      <c r="CM34" s="9"/>
      <c r="CN34" s="9"/>
      <c r="CO34" s="11">
        <v>10.91</v>
      </c>
      <c r="CP34" s="9"/>
      <c r="CQ34" s="9"/>
      <c r="CR34" s="9"/>
      <c r="CS34" s="9"/>
      <c r="CT34" s="9"/>
      <c r="CU34" s="11">
        <v>7.86</v>
      </c>
      <c r="CV34" s="9"/>
      <c r="CW34" s="9"/>
      <c r="CX34" s="9"/>
      <c r="CY34" s="9"/>
      <c r="CZ34" s="9"/>
      <c r="DA34" s="11">
        <v>11.02</v>
      </c>
      <c r="DB34" s="9"/>
      <c r="DC34" s="9"/>
      <c r="DD34" s="9"/>
      <c r="DE34" s="9"/>
      <c r="DF34" s="9"/>
      <c r="DG34" s="11">
        <v>8.65</v>
      </c>
      <c r="DH34" s="9"/>
      <c r="DI34" s="9"/>
      <c r="DJ34" s="9"/>
      <c r="DK34" s="9"/>
      <c r="DL34" s="9"/>
      <c r="DM34" s="11">
        <v>6.61</v>
      </c>
      <c r="DN34" s="9"/>
      <c r="DO34" s="9"/>
      <c r="DP34" s="9"/>
      <c r="DQ34" s="9"/>
      <c r="DR34" s="9"/>
      <c r="DS34" s="11">
        <v>9.460000000000001</v>
      </c>
      <c r="DT34" s="9"/>
      <c r="DU34" s="9"/>
      <c r="DV34" s="9"/>
      <c r="DW34" s="9"/>
      <c r="DX34" s="9"/>
      <c r="DY34" s="11">
        <v>8.359999999999999</v>
      </c>
      <c r="DZ34" s="9"/>
      <c r="EA34" s="9"/>
      <c r="EB34" s="9"/>
      <c r="EC34" s="9"/>
      <c r="ED34" s="9"/>
      <c r="EE34" s="11" cm="1">
        <f t="array" ref="EE34">ROUND(I34+O34+U34+AA34+AG34+AM34+AS34+AY34+BE34+BK34+BQ34+BW34+CC34+CI34+CO34+CU34+DA34+DG34+DM34+DS34+DY34,5)</f>
        <v>211.52</v>
      </c>
    </row>
    <row r="35" ht="15" customHeight="1">
      <c r="A35" s="2"/>
      <c r="B35" t="s" s="2">
        <v>57</v>
      </c>
      <c r="C35" s="2"/>
      <c r="D35" s="2"/>
      <c r="E35" s="9"/>
      <c r="F35" s="9"/>
      <c r="G35" s="9"/>
      <c r="H35" s="9"/>
      <c r="I35" s="11">
        <v>25.33</v>
      </c>
      <c r="J35" s="9"/>
      <c r="K35" s="9"/>
      <c r="L35" s="9"/>
      <c r="M35" s="9"/>
      <c r="N35" s="9"/>
      <c r="O35" s="11">
        <v>22.31</v>
      </c>
      <c r="P35" s="9"/>
      <c r="Q35" s="9"/>
      <c r="R35" s="9"/>
      <c r="S35" s="9"/>
      <c r="T35" s="9"/>
      <c r="U35" s="11">
        <v>17.84</v>
      </c>
      <c r="V35" s="9"/>
      <c r="W35" s="9"/>
      <c r="X35" s="9"/>
      <c r="Y35" s="9"/>
      <c r="Z35" s="9"/>
      <c r="AA35" s="11">
        <v>22.31</v>
      </c>
      <c r="AB35" s="9"/>
      <c r="AC35" s="9"/>
      <c r="AD35" s="9"/>
      <c r="AE35" s="9"/>
      <c r="AF35" s="9"/>
      <c r="AG35" s="11">
        <v>21.11</v>
      </c>
      <c r="AH35" s="9"/>
      <c r="AI35" s="9"/>
      <c r="AJ35" s="9"/>
      <c r="AK35" s="9"/>
      <c r="AL35" s="9"/>
      <c r="AM35" s="11">
        <v>29.26</v>
      </c>
      <c r="AN35" s="9"/>
      <c r="AO35" s="9"/>
      <c r="AP35" s="9"/>
      <c r="AQ35" s="9"/>
      <c r="AR35" s="9"/>
      <c r="AS35" s="11">
        <v>25.09</v>
      </c>
      <c r="AT35" s="9"/>
      <c r="AU35" s="9"/>
      <c r="AV35" s="9"/>
      <c r="AW35" s="9"/>
      <c r="AX35" s="9"/>
      <c r="AY35" s="11">
        <v>23.7</v>
      </c>
      <c r="AZ35" s="9"/>
      <c r="BA35" s="9"/>
      <c r="BB35" s="9"/>
      <c r="BC35" s="9"/>
      <c r="BD35" s="9"/>
      <c r="BE35" s="11">
        <v>25.09</v>
      </c>
      <c r="BF35" s="9"/>
      <c r="BG35" s="9"/>
      <c r="BH35" s="9"/>
      <c r="BI35" s="9"/>
      <c r="BJ35" s="9"/>
      <c r="BK35" s="11">
        <v>21.75</v>
      </c>
      <c r="BL35" s="9"/>
      <c r="BM35" s="9"/>
      <c r="BN35" s="9"/>
      <c r="BO35" s="9"/>
      <c r="BP35" s="9"/>
      <c r="BQ35" s="11">
        <v>32.24</v>
      </c>
      <c r="BR35" s="9"/>
      <c r="BS35" s="9"/>
      <c r="BT35" s="9"/>
      <c r="BU35" s="9"/>
      <c r="BV35" s="9"/>
      <c r="BW35" s="11">
        <v>42.58</v>
      </c>
      <c r="BX35" s="9"/>
      <c r="BY35" s="9"/>
      <c r="BZ35" s="9"/>
      <c r="CA35" s="9"/>
      <c r="CB35" s="9"/>
      <c r="CC35" s="11">
        <v>58.87</v>
      </c>
      <c r="CD35" s="9"/>
      <c r="CE35" s="9"/>
      <c r="CF35" s="9"/>
      <c r="CG35" s="9"/>
      <c r="CH35" s="9"/>
      <c r="CI35" s="11">
        <v>25.05</v>
      </c>
      <c r="CJ35" s="9"/>
      <c r="CK35" s="9"/>
      <c r="CL35" s="9"/>
      <c r="CM35" s="9"/>
      <c r="CN35" s="9"/>
      <c r="CO35" s="11">
        <v>26.35</v>
      </c>
      <c r="CP35" s="9"/>
      <c r="CQ35" s="9"/>
      <c r="CR35" s="9"/>
      <c r="CS35" s="9"/>
      <c r="CT35" s="9"/>
      <c r="CU35" s="11">
        <v>18.97</v>
      </c>
      <c r="CV35" s="9"/>
      <c r="CW35" s="9"/>
      <c r="CX35" s="9"/>
      <c r="CY35" s="9"/>
      <c r="CZ35" s="9"/>
      <c r="DA35" s="11">
        <v>26.62</v>
      </c>
      <c r="DB35" s="9"/>
      <c r="DC35" s="9"/>
      <c r="DD35" s="9"/>
      <c r="DE35" s="9"/>
      <c r="DF35" s="9"/>
      <c r="DG35" s="11">
        <v>20.91</v>
      </c>
      <c r="DH35" s="9"/>
      <c r="DI35" s="9"/>
      <c r="DJ35" s="9"/>
      <c r="DK35" s="9"/>
      <c r="DL35" s="9"/>
      <c r="DM35" s="11">
        <v>15.99</v>
      </c>
      <c r="DN35" s="9"/>
      <c r="DO35" s="9"/>
      <c r="DP35" s="9"/>
      <c r="DQ35" s="9"/>
      <c r="DR35" s="9"/>
      <c r="DS35" s="11">
        <v>22.86</v>
      </c>
      <c r="DT35" s="9"/>
      <c r="DU35" s="9"/>
      <c r="DV35" s="9"/>
      <c r="DW35" s="9"/>
      <c r="DX35" s="9"/>
      <c r="DY35" s="11">
        <v>20.2</v>
      </c>
      <c r="DZ35" s="9"/>
      <c r="EA35" s="9"/>
      <c r="EB35" s="9"/>
      <c r="EC35" s="9"/>
      <c r="ED35" s="9"/>
      <c r="EE35" s="11" cm="1">
        <f t="array" ref="EE35">ROUND(I35+O35+U35+AA35+AG35+AM35+AS35+AY35+BE35+BK35+BQ35+BW35+CC35+CI35+CO35+CU35+DA35+DG35+DM35+DS35+DY35,5)</f>
        <v>544.4299999999999</v>
      </c>
    </row>
    <row r="36" ht="15" customHeight="1">
      <c r="A36" s="2"/>
      <c r="B36" t="s" s="2">
        <v>58</v>
      </c>
      <c r="C36" s="2"/>
      <c r="D36" s="2"/>
      <c r="E36" s="9"/>
      <c r="F36" s="9"/>
      <c r="G36" s="9"/>
      <c r="H36" s="9"/>
      <c r="I36" s="11">
        <v>108.29</v>
      </c>
      <c r="J36" s="9"/>
      <c r="K36" s="9"/>
      <c r="L36" s="9"/>
      <c r="M36" s="9"/>
      <c r="N36" s="9"/>
      <c r="O36" s="11">
        <v>95.39</v>
      </c>
      <c r="P36" s="9"/>
      <c r="Q36" s="9"/>
      <c r="R36" s="9"/>
      <c r="S36" s="9"/>
      <c r="T36" s="9"/>
      <c r="U36" s="11">
        <v>76.26000000000001</v>
      </c>
      <c r="V36" s="9"/>
      <c r="W36" s="9"/>
      <c r="X36" s="9"/>
      <c r="Y36" s="9"/>
      <c r="Z36" s="9"/>
      <c r="AA36" s="11">
        <v>95.39</v>
      </c>
      <c r="AB36" s="9"/>
      <c r="AC36" s="9"/>
      <c r="AD36" s="9"/>
      <c r="AE36" s="9"/>
      <c r="AF36" s="9"/>
      <c r="AG36" s="11">
        <v>90.25</v>
      </c>
      <c r="AH36" s="9"/>
      <c r="AI36" s="9"/>
      <c r="AJ36" s="9"/>
      <c r="AK36" s="9"/>
      <c r="AL36" s="9"/>
      <c r="AM36" s="11">
        <v>125.1</v>
      </c>
      <c r="AN36" s="9"/>
      <c r="AO36" s="9"/>
      <c r="AP36" s="9"/>
      <c r="AQ36" s="9"/>
      <c r="AR36" s="9"/>
      <c r="AS36" s="11">
        <v>107.31</v>
      </c>
      <c r="AT36" s="9"/>
      <c r="AU36" s="9"/>
      <c r="AV36" s="9"/>
      <c r="AW36" s="9"/>
      <c r="AX36" s="9"/>
      <c r="AY36" s="11">
        <v>101.34</v>
      </c>
      <c r="AZ36" s="9"/>
      <c r="BA36" s="9"/>
      <c r="BB36" s="9"/>
      <c r="BC36" s="9"/>
      <c r="BD36" s="9"/>
      <c r="BE36" s="11">
        <v>107.31</v>
      </c>
      <c r="BF36" s="9"/>
      <c r="BG36" s="9"/>
      <c r="BH36" s="9"/>
      <c r="BI36" s="9"/>
      <c r="BJ36" s="9"/>
      <c r="BK36" s="11">
        <v>93</v>
      </c>
      <c r="BL36" s="9"/>
      <c r="BM36" s="9"/>
      <c r="BN36" s="9"/>
      <c r="BO36" s="9"/>
      <c r="BP36" s="9"/>
      <c r="BQ36" s="11">
        <v>137.84</v>
      </c>
      <c r="BR36" s="9"/>
      <c r="BS36" s="9"/>
      <c r="BT36" s="9"/>
      <c r="BU36" s="9"/>
      <c r="BV36" s="9"/>
      <c r="BW36" s="11">
        <v>182.08</v>
      </c>
      <c r="BX36" s="9"/>
      <c r="BY36" s="9"/>
      <c r="BZ36" s="9"/>
      <c r="CA36" s="9"/>
      <c r="CB36" s="9"/>
      <c r="CC36" s="11">
        <v>251.69</v>
      </c>
      <c r="CD36" s="9"/>
      <c r="CE36" s="9"/>
      <c r="CF36" s="9"/>
      <c r="CG36" s="9"/>
      <c r="CH36" s="9"/>
      <c r="CI36" s="11">
        <v>107.11</v>
      </c>
      <c r="CJ36" s="9"/>
      <c r="CK36" s="9"/>
      <c r="CL36" s="9"/>
      <c r="CM36" s="9"/>
      <c r="CN36" s="9"/>
      <c r="CO36" s="11">
        <v>112.68</v>
      </c>
      <c r="CP36" s="9"/>
      <c r="CQ36" s="9"/>
      <c r="CR36" s="9"/>
      <c r="CS36" s="9"/>
      <c r="CT36" s="9"/>
      <c r="CU36" s="11">
        <v>81.15000000000001</v>
      </c>
      <c r="CV36" s="9"/>
      <c r="CW36" s="9"/>
      <c r="CX36" s="9"/>
      <c r="CY36" s="9"/>
      <c r="CZ36" s="9"/>
      <c r="DA36" s="11">
        <v>113.82</v>
      </c>
      <c r="DB36" s="9"/>
      <c r="DC36" s="9"/>
      <c r="DD36" s="9"/>
      <c r="DE36" s="9"/>
      <c r="DF36" s="9"/>
      <c r="DG36" s="11">
        <v>89.42</v>
      </c>
      <c r="DH36" s="9"/>
      <c r="DI36" s="9"/>
      <c r="DJ36" s="9"/>
      <c r="DK36" s="9"/>
      <c r="DL36" s="9"/>
      <c r="DM36" s="11">
        <v>68.38</v>
      </c>
      <c r="DN36" s="9"/>
      <c r="DO36" s="9"/>
      <c r="DP36" s="9"/>
      <c r="DQ36" s="9"/>
      <c r="DR36" s="9"/>
      <c r="DS36" s="11">
        <v>97.77</v>
      </c>
      <c r="DT36" s="9"/>
      <c r="DU36" s="9"/>
      <c r="DV36" s="9"/>
      <c r="DW36" s="9"/>
      <c r="DX36" s="9"/>
      <c r="DY36" s="11">
        <v>86.38</v>
      </c>
      <c r="DZ36" s="9"/>
      <c r="EA36" s="9"/>
      <c r="EB36" s="9"/>
      <c r="EC36" s="9"/>
      <c r="ED36" s="9"/>
      <c r="EE36" s="11" cm="1">
        <f t="array" ref="EE36">ROUND(I36+O36+U36+AA36+AG36+AM36+AS36+AY36+BE36+BK36+BQ36+BW36+CC36+CI36+CO36+CU36+DA36+DG36+DM36+DS36+DY36,5)</f>
        <v>2327.96</v>
      </c>
    </row>
    <row r="37" ht="15" customHeight="1">
      <c r="A37" s="2"/>
      <c r="B37" t="s" s="2">
        <v>59</v>
      </c>
      <c r="C37" s="2"/>
      <c r="D37" s="2"/>
      <c r="E37" s="9"/>
      <c r="F37" s="9"/>
      <c r="G37" s="9"/>
      <c r="H37" s="9"/>
      <c r="I37" s="11">
        <v>85.58</v>
      </c>
      <c r="J37" s="9"/>
      <c r="K37" s="9"/>
      <c r="L37" s="9"/>
      <c r="M37" s="9"/>
      <c r="N37" s="9"/>
      <c r="O37" s="11">
        <v>75.39</v>
      </c>
      <c r="P37" s="9"/>
      <c r="Q37" s="9"/>
      <c r="R37" s="9"/>
      <c r="S37" s="9"/>
      <c r="T37" s="9"/>
      <c r="U37" s="11">
        <v>60.27</v>
      </c>
      <c r="V37" s="9"/>
      <c r="W37" s="9"/>
      <c r="X37" s="9"/>
      <c r="Y37" s="9"/>
      <c r="Z37" s="9"/>
      <c r="AA37" s="11">
        <v>75.39</v>
      </c>
      <c r="AB37" s="9"/>
      <c r="AC37" s="9"/>
      <c r="AD37" s="9"/>
      <c r="AE37" s="9"/>
      <c r="AF37" s="9"/>
      <c r="AG37" s="11">
        <v>123.74</v>
      </c>
      <c r="AH37" s="9"/>
      <c r="AI37" s="9"/>
      <c r="AJ37" s="9"/>
      <c r="AK37" s="9"/>
      <c r="AL37" s="9"/>
      <c r="AM37" s="11">
        <v>101.28</v>
      </c>
      <c r="AN37" s="9"/>
      <c r="AO37" s="9"/>
      <c r="AP37" s="9"/>
      <c r="AQ37" s="9"/>
      <c r="AR37" s="9"/>
      <c r="AS37" s="11">
        <v>135.08</v>
      </c>
      <c r="AT37" s="9"/>
      <c r="AU37" s="9"/>
      <c r="AV37" s="9"/>
      <c r="AW37" s="9"/>
      <c r="AX37" s="9"/>
      <c r="AY37" s="11">
        <v>80.09</v>
      </c>
      <c r="AZ37" s="9"/>
      <c r="BA37" s="9"/>
      <c r="BB37" s="9"/>
      <c r="BC37" s="9"/>
      <c r="BD37" s="9"/>
      <c r="BE37" s="11">
        <v>84.81</v>
      </c>
      <c r="BF37" s="9"/>
      <c r="BG37" s="9"/>
      <c r="BH37" s="9"/>
      <c r="BI37" s="9"/>
      <c r="BJ37" s="9"/>
      <c r="BK37" s="11">
        <v>73.5</v>
      </c>
      <c r="BL37" s="9"/>
      <c r="BM37" s="9"/>
      <c r="BN37" s="9"/>
      <c r="BO37" s="9"/>
      <c r="BP37" s="9"/>
      <c r="BQ37" s="11">
        <v>32.03</v>
      </c>
      <c r="BR37" s="9"/>
      <c r="BS37" s="9"/>
      <c r="BT37" s="9"/>
      <c r="BU37" s="9"/>
      <c r="BV37" s="9"/>
      <c r="BW37" s="11">
        <v>143.89</v>
      </c>
      <c r="BX37" s="9"/>
      <c r="BY37" s="9"/>
      <c r="BZ37" s="9"/>
      <c r="CA37" s="9"/>
      <c r="CB37" s="9"/>
      <c r="CC37" s="11">
        <v>144.08</v>
      </c>
      <c r="CD37" s="9"/>
      <c r="CE37" s="9"/>
      <c r="CF37" s="9"/>
      <c r="CG37" s="9"/>
      <c r="CH37" s="9"/>
      <c r="CI37" s="11">
        <v>84.65000000000001</v>
      </c>
      <c r="CJ37" s="9"/>
      <c r="CK37" s="9"/>
      <c r="CL37" s="9"/>
      <c r="CM37" s="9"/>
      <c r="CN37" s="9"/>
      <c r="CO37" s="11">
        <v>89.05</v>
      </c>
      <c r="CP37" s="9"/>
      <c r="CQ37" s="9"/>
      <c r="CR37" s="9"/>
      <c r="CS37" s="9"/>
      <c r="CT37" s="9"/>
      <c r="CU37" s="11">
        <v>64.13</v>
      </c>
      <c r="CV37" s="9"/>
      <c r="CW37" s="9"/>
      <c r="CX37" s="9"/>
      <c r="CY37" s="9"/>
      <c r="CZ37" s="9"/>
      <c r="DA37" s="11">
        <v>89.95999999999999</v>
      </c>
      <c r="DB37" s="9"/>
      <c r="DC37" s="9"/>
      <c r="DD37" s="9"/>
      <c r="DE37" s="9"/>
      <c r="DF37" s="9"/>
      <c r="DG37" s="11">
        <v>70.67</v>
      </c>
      <c r="DH37" s="9"/>
      <c r="DI37" s="9"/>
      <c r="DJ37" s="9"/>
      <c r="DK37" s="9"/>
      <c r="DL37" s="9"/>
      <c r="DM37" s="11">
        <v>54.03</v>
      </c>
      <c r="DN37" s="9"/>
      <c r="DO37" s="9"/>
      <c r="DP37" s="9"/>
      <c r="DQ37" s="9"/>
      <c r="DR37" s="9"/>
      <c r="DS37" s="11">
        <v>77.27</v>
      </c>
      <c r="DT37" s="9"/>
      <c r="DU37" s="9"/>
      <c r="DV37" s="9"/>
      <c r="DW37" s="9"/>
      <c r="DX37" s="9"/>
      <c r="DY37" s="11">
        <v>75.23999999999999</v>
      </c>
      <c r="DZ37" s="9"/>
      <c r="EA37" s="9"/>
      <c r="EB37" s="9"/>
      <c r="EC37" s="9"/>
      <c r="ED37" s="9"/>
      <c r="EE37" s="11" cm="1">
        <f t="array" ref="EE37">ROUND(I37+O37+U37+AA37+AG37+AM37+AS37+AY37+BE37+BK37+BQ37+BW37+CC37+CI37+CO37+CU37+DA37+DG37+DM37+DS37+DY37,5)</f>
        <v>1820.13</v>
      </c>
    </row>
    <row r="38" ht="15" customHeight="1">
      <c r="A38" s="2"/>
      <c r="B38" t="s" s="2">
        <v>60</v>
      </c>
      <c r="C38" s="2"/>
      <c r="D38" s="2"/>
      <c r="E38" s="9"/>
      <c r="F38" s="9"/>
      <c r="G38" s="9"/>
      <c r="H38" s="9"/>
      <c r="I38" s="11">
        <v>5.4</v>
      </c>
      <c r="J38" s="9"/>
      <c r="K38" s="9"/>
      <c r="L38" s="9"/>
      <c r="M38" s="9"/>
      <c r="N38" s="9"/>
      <c r="O38" s="11">
        <v>6.28</v>
      </c>
      <c r="P38" s="9"/>
      <c r="Q38" s="9"/>
      <c r="R38" s="9"/>
      <c r="S38" s="9"/>
      <c r="T38" s="9"/>
      <c r="U38" s="11">
        <v>4.5</v>
      </c>
      <c r="V38" s="9"/>
      <c r="W38" s="9"/>
      <c r="X38" s="9"/>
      <c r="Y38" s="9"/>
      <c r="Z38" s="9"/>
      <c r="AA38" s="11">
        <v>4.5</v>
      </c>
      <c r="AB38" s="9"/>
      <c r="AC38" s="9"/>
      <c r="AD38" s="9"/>
      <c r="AE38" s="9"/>
      <c r="AF38" s="9"/>
      <c r="AG38" s="11">
        <v>4.3</v>
      </c>
      <c r="AH38" s="9"/>
      <c r="AI38" s="9"/>
      <c r="AJ38" s="9"/>
      <c r="AK38" s="9"/>
      <c r="AL38" s="9"/>
      <c r="AM38" s="11">
        <v>5.62</v>
      </c>
      <c r="AN38" s="9"/>
      <c r="AO38" s="9"/>
      <c r="AP38" s="9"/>
      <c r="AQ38" s="9"/>
      <c r="AR38" s="9"/>
      <c r="AS38" s="11">
        <v>4.78</v>
      </c>
      <c r="AT38" s="9"/>
      <c r="AU38" s="9"/>
      <c r="AV38" s="9"/>
      <c r="AW38" s="9"/>
      <c r="AX38" s="9"/>
      <c r="AY38" s="11">
        <v>4.78</v>
      </c>
      <c r="AZ38" s="9"/>
      <c r="BA38" s="9"/>
      <c r="BB38" s="9"/>
      <c r="BC38" s="9"/>
      <c r="BD38" s="9"/>
      <c r="BE38" s="11">
        <v>5.06</v>
      </c>
      <c r="BF38" s="9"/>
      <c r="BG38" s="9"/>
      <c r="BH38" s="9"/>
      <c r="BI38" s="9"/>
      <c r="BJ38" s="9"/>
      <c r="BK38" s="11">
        <v>0</v>
      </c>
      <c r="BL38" s="9"/>
      <c r="BM38" s="9"/>
      <c r="BN38" s="9"/>
      <c r="BO38" s="9"/>
      <c r="BP38" s="9"/>
      <c r="BQ38" s="11">
        <v>0</v>
      </c>
      <c r="BR38" s="9"/>
      <c r="BS38" s="9"/>
      <c r="BT38" s="9"/>
      <c r="BU38" s="9"/>
      <c r="BV38" s="9"/>
      <c r="BW38" s="11">
        <v>9.84</v>
      </c>
      <c r="BX38" s="9"/>
      <c r="BY38" s="9"/>
      <c r="BZ38" s="9"/>
      <c r="CA38" s="9"/>
      <c r="CB38" s="9"/>
      <c r="CC38" s="11">
        <v>13.5</v>
      </c>
      <c r="CD38" s="9"/>
      <c r="CE38" s="9"/>
      <c r="CF38" s="9"/>
      <c r="CG38" s="9"/>
      <c r="CH38" s="9"/>
      <c r="CI38" s="11">
        <v>6.32</v>
      </c>
      <c r="CJ38" s="9"/>
      <c r="CK38" s="9"/>
      <c r="CL38" s="9"/>
      <c r="CM38" s="9"/>
      <c r="CN38" s="9"/>
      <c r="CO38" s="11">
        <v>5.31</v>
      </c>
      <c r="CP38" s="9"/>
      <c r="CQ38" s="9"/>
      <c r="CR38" s="9"/>
      <c r="CS38" s="9"/>
      <c r="CT38" s="9"/>
      <c r="CU38" s="11">
        <v>4</v>
      </c>
      <c r="CV38" s="9"/>
      <c r="CW38" s="9"/>
      <c r="CX38" s="9"/>
      <c r="CY38" s="9"/>
      <c r="CZ38" s="9"/>
      <c r="DA38" s="11">
        <v>6.47</v>
      </c>
      <c r="DB38" s="9"/>
      <c r="DC38" s="9"/>
      <c r="DD38" s="9"/>
      <c r="DE38" s="9"/>
      <c r="DF38" s="9"/>
      <c r="DG38" s="11">
        <v>4.22</v>
      </c>
      <c r="DH38" s="9"/>
      <c r="DI38" s="9"/>
      <c r="DJ38" s="9"/>
      <c r="DK38" s="9"/>
      <c r="DL38" s="9"/>
      <c r="DM38" s="11">
        <v>4.61</v>
      </c>
      <c r="DN38" s="9"/>
      <c r="DO38" s="9"/>
      <c r="DP38" s="9"/>
      <c r="DQ38" s="9"/>
      <c r="DR38" s="9"/>
      <c r="DS38" s="11">
        <v>4.61</v>
      </c>
      <c r="DT38" s="9"/>
      <c r="DU38" s="9"/>
      <c r="DV38" s="9"/>
      <c r="DW38" s="9"/>
      <c r="DX38" s="9"/>
      <c r="DY38" s="11">
        <v>5.9</v>
      </c>
      <c r="DZ38" s="9"/>
      <c r="EA38" s="9"/>
      <c r="EB38" s="9"/>
      <c r="EC38" s="9"/>
      <c r="ED38" s="9"/>
      <c r="EE38" s="11" cm="1">
        <f t="array" ref="EE38">ROUND(I38+O38+U38+AA38+AG38+AM38+AS38+AY38+BE38+BK38+BQ38+BW38+CC38+CI38+CO38+CU38+DA38+DG38+DM38+DS38+DY38,5)</f>
        <v>110</v>
      </c>
    </row>
    <row r="39" ht="15.75" customHeight="1">
      <c r="A39" s="2"/>
      <c r="B39" t="s" s="2">
        <v>61</v>
      </c>
      <c r="C39" s="2"/>
      <c r="D39" s="2"/>
      <c r="E39" s="9"/>
      <c r="F39" s="9"/>
      <c r="G39" s="9"/>
      <c r="H39" s="9"/>
      <c r="I39" s="12">
        <v>1.74</v>
      </c>
      <c r="J39" s="9"/>
      <c r="K39" s="9"/>
      <c r="L39" s="9"/>
      <c r="M39" s="9"/>
      <c r="N39" s="9"/>
      <c r="O39" s="12">
        <v>1.54</v>
      </c>
      <c r="P39" s="9"/>
      <c r="Q39" s="9"/>
      <c r="R39" s="9"/>
      <c r="S39" s="9"/>
      <c r="T39" s="9"/>
      <c r="U39" s="12">
        <v>1.23</v>
      </c>
      <c r="V39" s="9"/>
      <c r="W39" s="9"/>
      <c r="X39" s="9"/>
      <c r="Y39" s="9"/>
      <c r="Z39" s="9"/>
      <c r="AA39" s="12">
        <v>1.54</v>
      </c>
      <c r="AB39" s="9"/>
      <c r="AC39" s="9"/>
      <c r="AD39" s="9"/>
      <c r="AE39" s="9"/>
      <c r="AF39" s="9"/>
      <c r="AG39" s="12">
        <v>1.45</v>
      </c>
      <c r="AH39" s="9"/>
      <c r="AI39" s="9"/>
      <c r="AJ39" s="9"/>
      <c r="AK39" s="9"/>
      <c r="AL39" s="9"/>
      <c r="AM39" s="12">
        <v>1.73</v>
      </c>
      <c r="AN39" s="9"/>
      <c r="AO39" s="9"/>
      <c r="AP39" s="9"/>
      <c r="AQ39" s="9"/>
      <c r="AR39" s="9"/>
      <c r="AS39" s="12">
        <v>2.42</v>
      </c>
      <c r="AT39" s="9"/>
      <c r="AU39" s="9"/>
      <c r="AV39" s="9"/>
      <c r="AW39" s="9"/>
      <c r="AX39" s="9"/>
      <c r="AY39" s="12">
        <v>1.64</v>
      </c>
      <c r="AZ39" s="9"/>
      <c r="BA39" s="9"/>
      <c r="BB39" s="9"/>
      <c r="BC39" s="9"/>
      <c r="BD39" s="9"/>
      <c r="BE39" s="12">
        <v>1.73</v>
      </c>
      <c r="BF39" s="9"/>
      <c r="BG39" s="9"/>
      <c r="BH39" s="9"/>
      <c r="BI39" s="9"/>
      <c r="BJ39" s="9"/>
      <c r="BK39" s="12">
        <v>1.5</v>
      </c>
      <c r="BL39" s="9"/>
      <c r="BM39" s="9"/>
      <c r="BN39" s="9"/>
      <c r="BO39" s="9"/>
      <c r="BP39" s="9"/>
      <c r="BQ39" s="12">
        <v>0.65</v>
      </c>
      <c r="BR39" s="9"/>
      <c r="BS39" s="9"/>
      <c r="BT39" s="9"/>
      <c r="BU39" s="9"/>
      <c r="BV39" s="9"/>
      <c r="BW39" s="12">
        <v>2.93</v>
      </c>
      <c r="BX39" s="9"/>
      <c r="BY39" s="9"/>
      <c r="BZ39" s="9"/>
      <c r="CA39" s="9"/>
      <c r="CB39" s="9"/>
      <c r="CC39" s="12">
        <v>2.94</v>
      </c>
      <c r="CD39" s="9"/>
      <c r="CE39" s="9"/>
      <c r="CF39" s="9"/>
      <c r="CG39" s="9"/>
      <c r="CH39" s="9"/>
      <c r="CI39" s="12">
        <v>1.73</v>
      </c>
      <c r="CJ39" s="9"/>
      <c r="CK39" s="9"/>
      <c r="CL39" s="9"/>
      <c r="CM39" s="9"/>
      <c r="CN39" s="9"/>
      <c r="CO39" s="12">
        <v>1.81</v>
      </c>
      <c r="CP39" s="9"/>
      <c r="CQ39" s="9"/>
      <c r="CR39" s="9"/>
      <c r="CS39" s="9"/>
      <c r="CT39" s="9"/>
      <c r="CU39" s="12">
        <v>1.31</v>
      </c>
      <c r="CV39" s="9"/>
      <c r="CW39" s="9"/>
      <c r="CX39" s="9"/>
      <c r="CY39" s="9"/>
      <c r="CZ39" s="9"/>
      <c r="DA39" s="12">
        <v>1.83</v>
      </c>
      <c r="DB39" s="9"/>
      <c r="DC39" s="9"/>
      <c r="DD39" s="9"/>
      <c r="DE39" s="9"/>
      <c r="DF39" s="9"/>
      <c r="DG39" s="12">
        <v>1.45</v>
      </c>
      <c r="DH39" s="9"/>
      <c r="DI39" s="9"/>
      <c r="DJ39" s="9"/>
      <c r="DK39" s="9"/>
      <c r="DL39" s="9"/>
      <c r="DM39" s="12">
        <v>1.11</v>
      </c>
      <c r="DN39" s="9"/>
      <c r="DO39" s="9"/>
      <c r="DP39" s="9"/>
      <c r="DQ39" s="9"/>
      <c r="DR39" s="9"/>
      <c r="DS39" s="12">
        <v>1.57</v>
      </c>
      <c r="DT39" s="9"/>
      <c r="DU39" s="9"/>
      <c r="DV39" s="9"/>
      <c r="DW39" s="9"/>
      <c r="DX39" s="9"/>
      <c r="DY39" s="12">
        <v>1.39</v>
      </c>
      <c r="DZ39" s="9"/>
      <c r="EA39" s="9"/>
      <c r="EB39" s="9"/>
      <c r="EC39" s="9"/>
      <c r="ED39" s="9"/>
      <c r="EE39" s="12" cm="1">
        <f t="array" ref="EE39">ROUND(I39+O39+U39+AA39+AG39+AM39+AS39+AY39+BE39+BK39+BQ39+BW39+CC39+CI39+CO39+CU39+DA39+DG39+DM39+DS39+DY39,5)</f>
        <v>35.24</v>
      </c>
    </row>
    <row r="40" ht="12" customHeight="1">
      <c r="A40" t="s" s="2">
        <v>62</v>
      </c>
      <c r="B40" s="2"/>
      <c r="C40" s="2"/>
      <c r="D40" s="2"/>
      <c r="E40" s="2"/>
      <c r="F40" s="2"/>
      <c r="G40" s="2"/>
      <c r="H40" s="2"/>
      <c r="I40" s="15" cm="1">
        <f t="array" ref="I40">ROUND(SUM(I33:I39),5)</f>
        <v>236.82</v>
      </c>
      <c r="J40" s="2"/>
      <c r="K40" s="2"/>
      <c r="L40" s="2"/>
      <c r="M40" s="2"/>
      <c r="N40" s="2"/>
      <c r="O40" s="15" cm="1">
        <f t="array" ref="O40">ROUND(SUM(O33:O39),5)</f>
        <v>210.14</v>
      </c>
      <c r="P40" s="2"/>
      <c r="Q40" s="2"/>
      <c r="R40" s="2"/>
      <c r="S40" s="2"/>
      <c r="T40" s="2"/>
      <c r="U40" s="15" cm="1">
        <f t="array" ref="U40">ROUND(SUM(U33:U39),5)</f>
        <v>167.48</v>
      </c>
      <c r="V40" s="2"/>
      <c r="W40" s="2"/>
      <c r="X40" s="2"/>
      <c r="Y40" s="2"/>
      <c r="Z40" s="2"/>
      <c r="AA40" s="15" cm="1">
        <f t="array" ref="AA40">ROUND(SUM(AA33:AA39),5)</f>
        <v>208.36</v>
      </c>
      <c r="AB40" s="2"/>
      <c r="AC40" s="2"/>
      <c r="AD40" s="2"/>
      <c r="AE40" s="2"/>
      <c r="AF40" s="2"/>
      <c r="AG40" s="15" cm="1">
        <f t="array" ref="AG40">ROUND(SUM(AG33:AG39),5)</f>
        <v>249.59</v>
      </c>
      <c r="AH40" s="2"/>
      <c r="AI40" s="2"/>
      <c r="AJ40" s="2"/>
      <c r="AK40" s="2"/>
      <c r="AL40" s="2"/>
      <c r="AM40" s="15" cm="1">
        <f t="array" ref="AM40">ROUND(SUM(AM33:AM39),5)</f>
        <v>273.3</v>
      </c>
      <c r="AN40" s="2"/>
      <c r="AO40" s="2"/>
      <c r="AP40" s="2"/>
      <c r="AQ40" s="2"/>
      <c r="AR40" s="2"/>
      <c r="AS40" s="15" cm="1">
        <f t="array" ref="AS40">ROUND(SUM(AS33:AS39),5)</f>
        <v>289.22</v>
      </c>
      <c r="AT40" s="2"/>
      <c r="AU40" s="2"/>
      <c r="AV40" s="2"/>
      <c r="AW40" s="2"/>
      <c r="AX40" s="2"/>
      <c r="AY40" s="15" cm="1">
        <f t="array" ref="AY40">ROUND(SUM(AY33:AY39),5)</f>
        <v>221.36</v>
      </c>
      <c r="AZ40" s="2"/>
      <c r="BA40" s="2"/>
      <c r="BB40" s="2"/>
      <c r="BC40" s="2"/>
      <c r="BD40" s="2"/>
      <c r="BE40" s="15" cm="1">
        <f t="array" ref="BE40">ROUND(SUM(BE33:BE39),5)</f>
        <v>234.39</v>
      </c>
      <c r="BF40" s="2"/>
      <c r="BG40" s="2"/>
      <c r="BH40" s="2"/>
      <c r="BI40" s="2"/>
      <c r="BJ40" s="2"/>
      <c r="BK40" s="15" cm="1">
        <f t="array" ref="BK40">ROUND(SUM(BK33:BK39),5)</f>
        <v>198.75</v>
      </c>
      <c r="BL40" s="2"/>
      <c r="BM40" s="2"/>
      <c r="BN40" s="2"/>
      <c r="BO40" s="2"/>
      <c r="BP40" s="2"/>
      <c r="BQ40" s="15" cm="1">
        <f t="array" ref="BQ40">ROUND(SUM(BQ33:BQ39),5)</f>
        <v>206.68</v>
      </c>
      <c r="BR40" s="2"/>
      <c r="BS40" s="2"/>
      <c r="BT40" s="2"/>
      <c r="BU40" s="2"/>
      <c r="BV40" s="2"/>
      <c r="BW40" s="15" cm="1">
        <f t="array" ref="BW40">ROUND(SUM(BW33:BW39),5)</f>
        <v>398.94</v>
      </c>
      <c r="BX40" s="2"/>
      <c r="BY40" s="2"/>
      <c r="BZ40" s="2"/>
      <c r="CA40" s="2"/>
      <c r="CB40" s="2"/>
      <c r="CC40" s="15" cm="1">
        <f t="array" ref="CC40">ROUND(SUM(CC33:CC39),5)</f>
        <v>488.72</v>
      </c>
      <c r="CD40" s="2"/>
      <c r="CE40" s="2"/>
      <c r="CF40" s="2"/>
      <c r="CG40" s="2"/>
      <c r="CH40" s="2"/>
      <c r="CI40" s="15" cm="1">
        <f t="array" ref="CI40">ROUND(SUM(CI33:CI39),5)</f>
        <v>235.22</v>
      </c>
      <c r="CJ40" s="2"/>
      <c r="CK40" s="2"/>
      <c r="CL40" s="2"/>
      <c r="CM40" s="2"/>
      <c r="CN40" s="2"/>
      <c r="CO40" s="15" cm="1">
        <f t="array" ref="CO40">ROUND(SUM(CO33:CO39),5)</f>
        <v>246.11</v>
      </c>
      <c r="CP40" s="2"/>
      <c r="CQ40" s="2"/>
      <c r="CR40" s="2"/>
      <c r="CS40" s="2"/>
      <c r="CT40" s="2"/>
      <c r="CU40" s="15" cm="1">
        <f t="array" ref="CU40">ROUND(SUM(CU33:CU39),5)</f>
        <v>177.42</v>
      </c>
      <c r="CV40" s="2"/>
      <c r="CW40" s="2"/>
      <c r="CX40" s="2"/>
      <c r="CY40" s="2"/>
      <c r="CZ40" s="2"/>
      <c r="DA40" s="15" cm="1">
        <f t="array" ref="DA40">ROUND(SUM(DA33:DA39),5)</f>
        <v>249.72</v>
      </c>
      <c r="DB40" s="2"/>
      <c r="DC40" s="2"/>
      <c r="DD40" s="2"/>
      <c r="DE40" s="2"/>
      <c r="DF40" s="2"/>
      <c r="DG40" s="15" cm="1">
        <f t="array" ref="DG40">ROUND(SUM(DG33:DG39),5)</f>
        <v>195.32</v>
      </c>
      <c r="DH40" s="2"/>
      <c r="DI40" s="2"/>
      <c r="DJ40" s="2"/>
      <c r="DK40" s="2"/>
      <c r="DL40" s="2"/>
      <c r="DM40" s="15" cm="1">
        <f t="array" ref="DM40">ROUND(SUM(DM33:DM39),5)</f>
        <v>150.73</v>
      </c>
      <c r="DN40" s="2"/>
      <c r="DO40" s="2"/>
      <c r="DP40" s="2"/>
      <c r="DQ40" s="2"/>
      <c r="DR40" s="2"/>
      <c r="DS40" s="15" cm="1">
        <f t="array" ref="DS40">ROUND(SUM(DS33:DS39),5)</f>
        <v>213.54</v>
      </c>
      <c r="DT40" s="2"/>
      <c r="DU40" s="2"/>
      <c r="DV40" s="2"/>
      <c r="DW40" s="2"/>
      <c r="DX40" s="2"/>
      <c r="DY40" s="15" cm="1">
        <f t="array" ref="DY40">ROUND(SUM(DY33:DY39),5)</f>
        <v>197.47</v>
      </c>
      <c r="DZ40" s="2"/>
      <c r="EA40" s="2"/>
      <c r="EB40" s="2"/>
      <c r="EC40" s="2"/>
      <c r="ED40" s="2"/>
      <c r="EE40" s="15" cm="1">
        <f t="array" ref="EE40">ROUND(I40+O40+U40+AA40+AG40+AM40+AS40+AY40+BE40+BK40+BQ40+BW40+CC40+CI40+CO40+CU40+DA40+DG40+DM40+DS40+DY40,5)</f>
        <v>5049.28</v>
      </c>
    </row>
  </sheetData>
  <mergeCells count="22">
    <mergeCell ref="E1:I1"/>
    <mergeCell ref="K1:O1"/>
    <mergeCell ref="Q1:U1"/>
    <mergeCell ref="W1:AA1"/>
    <mergeCell ref="AC1:AG1"/>
    <mergeCell ref="AI1:AM1"/>
    <mergeCell ref="AO1:AS1"/>
    <mergeCell ref="AU1:AY1"/>
    <mergeCell ref="BA1:BE1"/>
    <mergeCell ref="BG1:BK1"/>
    <mergeCell ref="BM1:BQ1"/>
    <mergeCell ref="BS1:BW1"/>
    <mergeCell ref="BY1:CC1"/>
    <mergeCell ref="CE1:CI1"/>
    <mergeCell ref="CK1:CO1"/>
    <mergeCell ref="CQ1:CU1"/>
    <mergeCell ref="CW1:DA1"/>
    <mergeCell ref="DC1:DG1"/>
    <mergeCell ref="DI1:DM1"/>
    <mergeCell ref="DO1:DS1"/>
    <mergeCell ref="DU1:DY1"/>
    <mergeCell ref="EA1:EE1"/>
  </mergeCells>
  <pageMargins left="0.7" right="0.7" top="0.75" bottom="0.75" header="0.1" footer="0.3"/>
  <pageSetup firstPageNumber="1" fitToHeight="1" fitToWidth="1" scale="100" useFirstPageNumber="0" orientation="portrait" pageOrder="downThenOver"/>
  <headerFooter>
    <oddHeader>&amp;C&amp;"Arial,Bold"&amp;10&amp;K000000 March 8 - 14, 2026</oddHeader>
    <oddFooter>&amp;R&amp;"Aptos Narrow,Regular"&amp;11&amp;K000000&amp;"Arial,Bold"&amp;8&amp;P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